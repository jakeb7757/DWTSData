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quie\Documents\DWTS_Data\"/>
    </mc:Choice>
  </mc:AlternateContent>
  <xr:revisionPtr revIDLastSave="0" documentId="8_{1B9E73AA-32DC-4B72-899C-7C0A7645CCF5}" xr6:coauthVersionLast="47" xr6:coauthVersionMax="47" xr10:uidLastSave="{00000000-0000-0000-0000-000000000000}"/>
  <bookViews>
    <workbookView xWindow="-98" yWindow="-98" windowWidth="21795" windowHeight="12975" activeTab="3" xr2:uid="{8050E441-15CF-48AA-BAE2-0E0288A13682}"/>
  </bookViews>
  <sheets>
    <sheet name="Sheet1" sheetId="1" r:id="rId1"/>
    <sheet name="Season33_Data" sheetId="2" r:id="rId2"/>
    <sheet name="Season23_Data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2" i="3"/>
  <c r="O3" i="3"/>
  <c r="O4" i="3"/>
  <c r="O5" i="3"/>
  <c r="O6" i="3"/>
  <c r="O7" i="3"/>
  <c r="O8" i="3"/>
  <c r="O9" i="3"/>
  <c r="O10" i="3"/>
  <c r="O11" i="3"/>
  <c r="O12" i="3"/>
  <c r="O13" i="3"/>
  <c r="O2" i="3"/>
  <c r="C15" i="3"/>
  <c r="D15" i="3"/>
  <c r="E15" i="3"/>
  <c r="F15" i="3"/>
  <c r="G15" i="3"/>
  <c r="H15" i="3"/>
  <c r="I15" i="3"/>
  <c r="J15" i="3"/>
  <c r="K15" i="3"/>
  <c r="L15" i="3"/>
  <c r="M15" i="3"/>
  <c r="N15" i="3"/>
  <c r="B15" i="3"/>
  <c r="C16" i="2"/>
  <c r="D16" i="2"/>
  <c r="E16" i="2"/>
  <c r="F16" i="2"/>
  <c r="G16" i="2"/>
  <c r="H16" i="2"/>
  <c r="I16" i="2"/>
  <c r="J16" i="2"/>
  <c r="K16" i="2"/>
  <c r="L16" i="2"/>
  <c r="M16" i="2"/>
  <c r="N16" i="2"/>
  <c r="B16" i="2"/>
  <c r="O3" i="2"/>
  <c r="O4" i="2"/>
  <c r="O5" i="2"/>
  <c r="O6" i="2"/>
  <c r="O7" i="2"/>
  <c r="O8" i="2"/>
  <c r="O9" i="2"/>
  <c r="O10" i="2"/>
  <c r="O11" i="2"/>
  <c r="O12" i="2"/>
  <c r="O13" i="2"/>
  <c r="O14" i="2"/>
  <c r="O2" i="2"/>
  <c r="K5" i="1"/>
  <c r="K4" i="1"/>
  <c r="E14" i="1"/>
  <c r="E15" i="1"/>
  <c r="E16" i="1"/>
  <c r="E17" i="1"/>
  <c r="E18" i="1"/>
  <c r="E19" i="1"/>
  <c r="E13" i="1"/>
  <c r="C20" i="1"/>
  <c r="B20" i="1"/>
  <c r="D17" i="1" s="1"/>
  <c r="F17" i="1" s="1"/>
  <c r="C11" i="1"/>
  <c r="E7" i="1" s="1"/>
  <c r="B11" i="1"/>
  <c r="D3" i="1" s="1"/>
  <c r="D19" i="1" l="1"/>
  <c r="F19" i="1" s="1"/>
  <c r="D14" i="1"/>
  <c r="F14" i="1" s="1"/>
  <c r="D15" i="1"/>
  <c r="F15" i="1" s="1"/>
  <c r="D16" i="1"/>
  <c r="F16" i="1" s="1"/>
  <c r="D13" i="1"/>
  <c r="F13" i="1" s="1"/>
  <c r="D18" i="1"/>
  <c r="F18" i="1" s="1"/>
  <c r="E2" i="1"/>
  <c r="E8" i="1"/>
  <c r="E9" i="1"/>
  <c r="E6" i="1"/>
  <c r="F6" i="1" s="1"/>
  <c r="E5" i="1"/>
  <c r="F5" i="1" s="1"/>
  <c r="E3" i="1"/>
  <c r="F3" i="1" s="1"/>
  <c r="E4" i="1"/>
  <c r="E10" i="1"/>
  <c r="D2" i="1"/>
  <c r="D10" i="1"/>
  <c r="D9" i="1"/>
  <c r="D8" i="1"/>
  <c r="D7" i="1"/>
  <c r="F7" i="1" s="1"/>
  <c r="D6" i="1"/>
  <c r="D5" i="1"/>
  <c r="D4" i="1"/>
  <c r="F4" i="1" l="1"/>
  <c r="F9" i="1"/>
  <c r="F8" i="1"/>
  <c r="F10" i="1"/>
  <c r="F2" i="1"/>
</calcChain>
</file>

<file path=xl/sharedStrings.xml><?xml version="1.0" encoding="utf-8"?>
<sst xmlns="http://schemas.openxmlformats.org/spreadsheetml/2006/main" count="94" uniqueCount="59">
  <si>
    <t>Alix</t>
  </si>
  <si>
    <t>Andy</t>
  </si>
  <si>
    <t>Danielle</t>
  </si>
  <si>
    <t>Dylan</t>
  </si>
  <si>
    <t>Elaine</t>
  </si>
  <si>
    <t>Jordan</t>
  </si>
  <si>
    <t>Robert</t>
  </si>
  <si>
    <t>Whitney</t>
  </si>
  <si>
    <t>Jen</t>
  </si>
  <si>
    <t>Name</t>
  </si>
  <si>
    <t>Judges Score</t>
  </si>
  <si>
    <t>Fan Vote</t>
  </si>
  <si>
    <t>% of Judge Scores</t>
  </si>
  <si>
    <t>% of Fan Vote</t>
  </si>
  <si>
    <t>Total "Score"</t>
  </si>
  <si>
    <t>Joey</t>
  </si>
  <si>
    <t>Ilona</t>
  </si>
  <si>
    <t>Chandler</t>
  </si>
  <si>
    <t>Stephen</t>
  </si>
  <si>
    <t>Danny</t>
  </si>
  <si>
    <t>Dwight</t>
  </si>
  <si>
    <t>Jenn</t>
  </si>
  <si>
    <t>Phaedra</t>
  </si>
  <si>
    <t>Brooks</t>
  </si>
  <si>
    <t>Eric</t>
  </si>
  <si>
    <t>Reginald</t>
  </si>
  <si>
    <t>Tori</t>
  </si>
  <si>
    <t>Anna</t>
  </si>
  <si>
    <t>Dance 1</t>
  </si>
  <si>
    <t>Dance 2</t>
  </si>
  <si>
    <t>Dance 3</t>
  </si>
  <si>
    <t>Dance 4</t>
  </si>
  <si>
    <t>Dance 5</t>
  </si>
  <si>
    <t>Dance 6</t>
  </si>
  <si>
    <t>Dance 7</t>
  </si>
  <si>
    <t>Dance 8</t>
  </si>
  <si>
    <t>Dance 9</t>
  </si>
  <si>
    <t>Dance 10</t>
  </si>
  <si>
    <t>Dance 11</t>
  </si>
  <si>
    <t>Dance 12</t>
  </si>
  <si>
    <t>Dance 13</t>
  </si>
  <si>
    <t>Average Judge Score</t>
  </si>
  <si>
    <t>Weekly Average Judge Score</t>
  </si>
  <si>
    <t>James</t>
  </si>
  <si>
    <t>Meryl</t>
  </si>
  <si>
    <t>Amy</t>
  </si>
  <si>
    <t>Candace</t>
  </si>
  <si>
    <t>Charlie</t>
  </si>
  <si>
    <t>Danica</t>
  </si>
  <si>
    <t>NeNe</t>
  </si>
  <si>
    <t>Drew</t>
  </si>
  <si>
    <t>Cody</t>
  </si>
  <si>
    <t>Billy Dee</t>
  </si>
  <si>
    <t>Sean</t>
  </si>
  <si>
    <t>Diana</t>
  </si>
  <si>
    <t>Dance Average</t>
  </si>
  <si>
    <t>Season 23</t>
  </si>
  <si>
    <t>Season 33</t>
  </si>
  <si>
    <t>Lowest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</si>
</sst>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Sheet4!$A$2</c:f>
              <c:strCache>
                <c:ptCount val="1"/>
                <c:pt idx="0">
                  <c:v>Season 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Sheet4!$B$1:$N$1</c:f>
              <c:strCache>
                <c:ptCount val="13"/>
                <c:pt idx="0">
                  <c:v>Dance 1</c:v>
                </c:pt>
                <c:pt idx="1">
                  <c:v>Dance 2</c:v>
                </c:pt>
                <c:pt idx="2">
                  <c:v>Dance 3</c:v>
                </c:pt>
                <c:pt idx="3">
                  <c:v>Dance 4</c:v>
                </c:pt>
                <c:pt idx="4">
                  <c:v>Dance 5</c:v>
                </c:pt>
                <c:pt idx="5">
                  <c:v>Dance 6</c:v>
                </c:pt>
                <c:pt idx="6">
                  <c:v>Dance 7</c:v>
                </c:pt>
                <c:pt idx="7">
                  <c:v>Dance 8</c:v>
                </c:pt>
                <c:pt idx="8">
                  <c:v>Dance 9</c:v>
                </c:pt>
                <c:pt idx="9">
                  <c:v>Dance 10</c:v>
                </c:pt>
                <c:pt idx="10">
                  <c:v>Dance 11</c:v>
                </c:pt>
                <c:pt idx="11">
                  <c:v>Dance 12</c:v>
                </c:pt>
                <c:pt idx="12">
                  <c:v>Dance 13</c:v>
                </c:pt>
              </c:strCache>
            </c:strRef>
          </c:cat>
          <c:val>
            <c:numRef>
              <c:f>Sheet4!$B$2:$N$2</c:f>
              <c:numCache>
                <c:formatCode>General</c:formatCode>
                <c:ptCount val="13"/>
                <c:pt idx="0">
                  <c:v>7.2777777777777777</c:v>
                </c:pt>
                <c:pt idx="1">
                  <c:v>7.3939393939393945</c:v>
                </c:pt>
                <c:pt idx="2">
                  <c:v>8.6296296296296298</c:v>
                </c:pt>
                <c:pt idx="3">
                  <c:v>8.2592592592592595</c:v>
                </c:pt>
                <c:pt idx="4">
                  <c:v>8.851851851851853</c:v>
                </c:pt>
                <c:pt idx="5">
                  <c:v>8.7083333333333339</c:v>
                </c:pt>
                <c:pt idx="6">
                  <c:v>8.6666666666666661</c:v>
                </c:pt>
                <c:pt idx="7">
                  <c:v>9.4444444444444446</c:v>
                </c:pt>
                <c:pt idx="8">
                  <c:v>9.6</c:v>
                </c:pt>
                <c:pt idx="9">
                  <c:v>9.4</c:v>
                </c:pt>
                <c:pt idx="10">
                  <c:v>9.6666666666666661</c:v>
                </c:pt>
                <c:pt idx="11">
                  <c:v>9.3333333333333339</c:v>
                </c:pt>
                <c:pt idx="12">
                  <c:v>9.6666666666666661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06-4FC8-909C-A9D547E57EBB}"/>
            </c:ext>
          </c:extLst>
        </c:ser>
        <c:ser>
          <c:idx val="1"/>
          <c:order val="1"/>
          <c:tx>
            <c:strRef>
              <c:f>Sheet4!$A$3</c:f>
              <c:strCache>
                <c:ptCount val="1"/>
                <c:pt idx="0">
                  <c:v>Season 33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Sheet4!$B$1:$N$1</c:f>
              <c:strCache>
                <c:ptCount val="13"/>
                <c:pt idx="0">
                  <c:v>Dance 1</c:v>
                </c:pt>
                <c:pt idx="1">
                  <c:v>Dance 2</c:v>
                </c:pt>
                <c:pt idx="2">
                  <c:v>Dance 3</c:v>
                </c:pt>
                <c:pt idx="3">
                  <c:v>Dance 4</c:v>
                </c:pt>
                <c:pt idx="4">
                  <c:v>Dance 5</c:v>
                </c:pt>
                <c:pt idx="5">
                  <c:v>Dance 6</c:v>
                </c:pt>
                <c:pt idx="6">
                  <c:v>Dance 7</c:v>
                </c:pt>
                <c:pt idx="7">
                  <c:v>Dance 8</c:v>
                </c:pt>
                <c:pt idx="8">
                  <c:v>Dance 9</c:v>
                </c:pt>
                <c:pt idx="9">
                  <c:v>Dance 10</c:v>
                </c:pt>
                <c:pt idx="10">
                  <c:v>Dance 11</c:v>
                </c:pt>
                <c:pt idx="11">
                  <c:v>Dance 12</c:v>
                </c:pt>
                <c:pt idx="12">
                  <c:v>Dance 13</c:v>
                </c:pt>
              </c:strCache>
            </c:strRef>
          </c:cat>
          <c:val>
            <c:numRef>
              <c:f>Sheet4!$B$3:$N$3</c:f>
              <c:numCache>
                <c:formatCode>General</c:formatCode>
                <c:ptCount val="13"/>
                <c:pt idx="0">
                  <c:v>6.333333333333333</c:v>
                </c:pt>
                <c:pt idx="1">
                  <c:v>6.6153846153846159</c:v>
                </c:pt>
                <c:pt idx="2">
                  <c:v>7.2727272727272725</c:v>
                </c:pt>
                <c:pt idx="3">
                  <c:v>7.3030303030303036</c:v>
                </c:pt>
                <c:pt idx="4">
                  <c:v>8.1851851851851851</c:v>
                </c:pt>
                <c:pt idx="5">
                  <c:v>8.3333333333333339</c:v>
                </c:pt>
                <c:pt idx="6">
                  <c:v>9.238095238095239</c:v>
                </c:pt>
                <c:pt idx="7">
                  <c:v>9.3333333333333339</c:v>
                </c:pt>
                <c:pt idx="8">
                  <c:v>8.4444444444444446</c:v>
                </c:pt>
                <c:pt idx="9">
                  <c:v>9.2666666666666675</c:v>
                </c:pt>
                <c:pt idx="10">
                  <c:v>9.4</c:v>
                </c:pt>
                <c:pt idx="11">
                  <c:v>9.5333333333333332</c:v>
                </c:pt>
                <c:pt idx="12">
                  <c:v>9.8666666666666671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06-4FC8-909C-A9D547E57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436319"/>
        <c:axId val="905432479"/>
      </c:lineChart>
      <c:catAx>
        <c:axId val="90543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432479"/>
        <c:crosses val="autoZero"/>
        <c:auto val="1"/>
        <c:lblAlgn val="ctr"/>
        <c:lblOffset val="100"/>
        <c:noMultiLvlLbl val="0"/>
      </c:catAx>
      <c:valAx>
        <c:axId val="9054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43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7</xdr:row>
      <xdr:rowOff>47624</xdr:rowOff>
    </xdr:from>
    <xdr:to>
      <xdr:col>17</xdr:col>
      <xdr:colOff>481013</xdr:colOff>
      <xdr:row>28</xdr:row>
      <xdr:rowOff>28574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F3753A-5F3F-8393-B6C8-4DC543386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1066-FA3F-4490-AA9D-FC12BEC63F2E}">
  <dimension ref="A1:K20"/>
  <sheetViews>
    <sheetView workbookViewId="0">
      <selection activeCell="K20" sqref="K20"/>
    </sheetView>
  </sheetViews>
  <sheetFormatPr defaultRowHeight="14.25" x14ac:dyDescent="0.45"/>
  <cols>
    <col min="2" max="2" width="10.796875" bestFit="1" customWidth="1"/>
  </cols>
  <sheetData>
    <row r="1" spans="1:11" ht="28.5" x14ac:dyDescent="0.4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11" x14ac:dyDescent="0.45">
      <c r="A2" t="s">
        <v>0</v>
      </c>
      <c r="B2">
        <v>39</v>
      </c>
      <c r="C2">
        <v>5555555</v>
      </c>
      <c r="D2" s="2">
        <f>B2/$B$11</f>
        <v>0.12662337662337661</v>
      </c>
      <c r="E2" s="2">
        <f>C2/$C$11</f>
        <v>0.1111111111111111</v>
      </c>
      <c r="F2" s="2">
        <f>D2+E2</f>
        <v>0.23773448773448771</v>
      </c>
    </row>
    <row r="3" spans="1:11" x14ac:dyDescent="0.45">
      <c r="A3" t="s">
        <v>1</v>
      </c>
      <c r="B3">
        <v>28</v>
      </c>
      <c r="C3">
        <v>5555555</v>
      </c>
      <c r="D3" s="2">
        <f>B3/$B$11</f>
        <v>9.0909090909090912E-2</v>
      </c>
      <c r="E3" s="2">
        <f t="shared" ref="E3:E9" si="0">C3/$C$11</f>
        <v>0.1111111111111111</v>
      </c>
      <c r="F3" s="2">
        <f t="shared" ref="F3:F10" si="1">D3+E3</f>
        <v>0.20202020202020202</v>
      </c>
    </row>
    <row r="4" spans="1:11" x14ac:dyDescent="0.45">
      <c r="A4" t="s">
        <v>2</v>
      </c>
      <c r="B4">
        <v>33</v>
      </c>
      <c r="C4">
        <v>5555555</v>
      </c>
      <c r="D4" s="2">
        <f>B4/$B$11</f>
        <v>0.10714285714285714</v>
      </c>
      <c r="E4" s="2">
        <f t="shared" si="0"/>
        <v>0.1111111111111111</v>
      </c>
      <c r="F4" s="2">
        <f t="shared" si="1"/>
        <v>0.21825396825396826</v>
      </c>
      <c r="K4">
        <f>(AVERAGE(B2:B10))/4</f>
        <v>8.5555555555555554</v>
      </c>
    </row>
    <row r="5" spans="1:11" x14ac:dyDescent="0.45">
      <c r="A5" t="s">
        <v>3</v>
      </c>
      <c r="B5">
        <v>35</v>
      </c>
      <c r="C5">
        <v>5555555</v>
      </c>
      <c r="D5" s="2">
        <f>B5/$B$11</f>
        <v>0.11363636363636363</v>
      </c>
      <c r="E5" s="2">
        <f t="shared" si="0"/>
        <v>0.1111111111111111</v>
      </c>
      <c r="F5" s="2">
        <f t="shared" si="1"/>
        <v>0.22474747474747475</v>
      </c>
      <c r="K5">
        <f>(AVERAGE(B13:B19))/3</f>
        <v>9.238095238095239</v>
      </c>
    </row>
    <row r="6" spans="1:11" x14ac:dyDescent="0.45">
      <c r="A6" t="s">
        <v>4</v>
      </c>
      <c r="B6">
        <v>32</v>
      </c>
      <c r="C6">
        <v>5555555</v>
      </c>
      <c r="D6" s="2">
        <f>B6/$B$11</f>
        <v>0.1038961038961039</v>
      </c>
      <c r="E6" s="2">
        <f t="shared" si="0"/>
        <v>0.1111111111111111</v>
      </c>
      <c r="F6" s="2">
        <f t="shared" si="1"/>
        <v>0.21500721500721501</v>
      </c>
    </row>
    <row r="7" spans="1:11" x14ac:dyDescent="0.45">
      <c r="A7" t="s">
        <v>5</v>
      </c>
      <c r="B7">
        <v>34</v>
      </c>
      <c r="C7">
        <v>5555555</v>
      </c>
      <c r="D7" s="2">
        <f>B7/$B$11</f>
        <v>0.11038961038961038</v>
      </c>
      <c r="E7" s="2">
        <f t="shared" si="0"/>
        <v>0.1111111111111111</v>
      </c>
      <c r="F7" s="2">
        <f t="shared" si="1"/>
        <v>0.22150072150072148</v>
      </c>
    </row>
    <row r="8" spans="1:11" x14ac:dyDescent="0.45">
      <c r="A8" t="s">
        <v>6</v>
      </c>
      <c r="B8">
        <v>38</v>
      </c>
      <c r="C8">
        <v>5555555</v>
      </c>
      <c r="D8" s="2">
        <f>B8/$B$11</f>
        <v>0.12337662337662338</v>
      </c>
      <c r="E8" s="2">
        <f t="shared" si="0"/>
        <v>0.1111111111111111</v>
      </c>
      <c r="F8" s="2">
        <f t="shared" si="1"/>
        <v>0.23448773448773447</v>
      </c>
    </row>
    <row r="9" spans="1:11" x14ac:dyDescent="0.45">
      <c r="A9" t="s">
        <v>7</v>
      </c>
      <c r="B9">
        <v>37</v>
      </c>
      <c r="C9">
        <v>5555555</v>
      </c>
      <c r="D9" s="2">
        <f>B9/$B$11</f>
        <v>0.12012987012987013</v>
      </c>
      <c r="E9" s="2">
        <f t="shared" si="0"/>
        <v>0.1111111111111111</v>
      </c>
      <c r="F9" s="2">
        <f t="shared" si="1"/>
        <v>0.23124098124098125</v>
      </c>
    </row>
    <row r="10" spans="1:11" x14ac:dyDescent="0.45">
      <c r="A10" t="s">
        <v>8</v>
      </c>
      <c r="B10">
        <v>32</v>
      </c>
      <c r="C10">
        <v>5555555</v>
      </c>
      <c r="D10" s="2">
        <f>B10/$B$11</f>
        <v>0.1038961038961039</v>
      </c>
      <c r="E10" s="2">
        <f>C10/$C$11</f>
        <v>0.1111111111111111</v>
      </c>
      <c r="F10" s="2">
        <f t="shared" si="1"/>
        <v>0.21500721500721501</v>
      </c>
    </row>
    <row r="11" spans="1:11" x14ac:dyDescent="0.45">
      <c r="B11">
        <f>SUM(B2:B10)</f>
        <v>308</v>
      </c>
      <c r="C11">
        <f>SUM(C2:C10)</f>
        <v>49999995</v>
      </c>
    </row>
    <row r="13" spans="1:11" x14ac:dyDescent="0.45">
      <c r="A13" t="s">
        <v>15</v>
      </c>
      <c r="B13">
        <v>29</v>
      </c>
      <c r="C13">
        <v>5555555</v>
      </c>
      <c r="D13" s="2">
        <f>B13/$B$20</f>
        <v>0.14948453608247422</v>
      </c>
      <c r="E13" s="2">
        <f>C13/$C$20</f>
        <v>0.14285714285714285</v>
      </c>
      <c r="F13" s="2">
        <f>D13+E13</f>
        <v>0.29234167893961704</v>
      </c>
    </row>
    <row r="14" spans="1:11" x14ac:dyDescent="0.45">
      <c r="A14" t="s">
        <v>16</v>
      </c>
      <c r="B14">
        <v>24</v>
      </c>
      <c r="C14">
        <v>5555555</v>
      </c>
      <c r="D14" s="2">
        <f t="shared" ref="D14:D19" si="2">B14/$B$20</f>
        <v>0.12371134020618557</v>
      </c>
      <c r="E14" s="2">
        <f t="shared" ref="E14:E19" si="3">C14/$C$20</f>
        <v>0.14285714285714285</v>
      </c>
      <c r="F14" s="2">
        <f t="shared" ref="F14:F19" si="4">D14+E14</f>
        <v>0.26656848306332842</v>
      </c>
    </row>
    <row r="15" spans="1:11" x14ac:dyDescent="0.45">
      <c r="A15" t="s">
        <v>17</v>
      </c>
      <c r="B15">
        <v>29</v>
      </c>
      <c r="C15">
        <v>5555555</v>
      </c>
      <c r="D15" s="2">
        <f t="shared" si="2"/>
        <v>0.14948453608247422</v>
      </c>
      <c r="E15" s="2">
        <f t="shared" si="3"/>
        <v>0.14285714285714285</v>
      </c>
      <c r="F15" s="2">
        <f t="shared" si="4"/>
        <v>0.29234167893961704</v>
      </c>
    </row>
    <row r="16" spans="1:11" x14ac:dyDescent="0.45">
      <c r="A16" t="s">
        <v>18</v>
      </c>
      <c r="B16">
        <v>28</v>
      </c>
      <c r="C16">
        <v>5555555</v>
      </c>
      <c r="D16" s="2">
        <f t="shared" si="2"/>
        <v>0.14432989690721648</v>
      </c>
      <c r="E16" s="2">
        <f t="shared" si="3"/>
        <v>0.14285714285714285</v>
      </c>
      <c r="F16" s="2">
        <f t="shared" si="4"/>
        <v>0.28718703976435933</v>
      </c>
    </row>
    <row r="17" spans="1:6" x14ac:dyDescent="0.45">
      <c r="A17" t="s">
        <v>19</v>
      </c>
      <c r="B17">
        <v>28</v>
      </c>
      <c r="C17">
        <v>5555555</v>
      </c>
      <c r="D17" s="2">
        <f t="shared" si="2"/>
        <v>0.14432989690721648</v>
      </c>
      <c r="E17" s="2">
        <f t="shared" si="3"/>
        <v>0.14285714285714285</v>
      </c>
      <c r="F17" s="2">
        <f t="shared" si="4"/>
        <v>0.28718703976435933</v>
      </c>
    </row>
    <row r="18" spans="1:6" x14ac:dyDescent="0.45">
      <c r="A18" t="s">
        <v>20</v>
      </c>
      <c r="B18">
        <v>28</v>
      </c>
      <c r="C18">
        <v>5555555</v>
      </c>
      <c r="D18" s="2">
        <f t="shared" si="2"/>
        <v>0.14432989690721648</v>
      </c>
      <c r="E18" s="2">
        <f t="shared" si="3"/>
        <v>0.14285714285714285</v>
      </c>
      <c r="F18" s="2">
        <f t="shared" si="4"/>
        <v>0.28718703976435933</v>
      </c>
    </row>
    <row r="19" spans="1:6" x14ac:dyDescent="0.45">
      <c r="A19" t="s">
        <v>21</v>
      </c>
      <c r="B19">
        <v>28</v>
      </c>
      <c r="C19">
        <v>5555555</v>
      </c>
      <c r="D19" s="2">
        <f t="shared" si="2"/>
        <v>0.14432989690721648</v>
      </c>
      <c r="E19" s="2">
        <f t="shared" si="3"/>
        <v>0.14285714285714285</v>
      </c>
      <c r="F19" s="2">
        <f t="shared" si="4"/>
        <v>0.28718703976435933</v>
      </c>
    </row>
    <row r="20" spans="1:6" x14ac:dyDescent="0.45">
      <c r="B20">
        <f>SUM(B13:B19)</f>
        <v>194</v>
      </c>
      <c r="C20">
        <f>SUM(C13:C19)</f>
        <v>38888885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474F-A7F1-4E34-91FD-07594B78AD49}">
  <dimension ref="A1:O16"/>
  <sheetViews>
    <sheetView workbookViewId="0">
      <pane xSplit="1" topLeftCell="B1" activePane="topRight" state="frozen"/>
      <selection pane="topRight" activeCell="P11" sqref="P11"/>
    </sheetView>
  </sheetViews>
  <sheetFormatPr defaultRowHeight="14.25" x14ac:dyDescent="0.45"/>
  <sheetData>
    <row r="1" spans="1:15" s="1" customFormat="1" ht="42.75" x14ac:dyDescent="0.45">
      <c r="A1" s="1" t="s">
        <v>9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45">
      <c r="A2" t="s">
        <v>15</v>
      </c>
      <c r="B2">
        <v>21</v>
      </c>
      <c r="C2">
        <v>22</v>
      </c>
      <c r="D2">
        <v>26</v>
      </c>
      <c r="E2">
        <v>27</v>
      </c>
      <c r="F2">
        <v>27</v>
      </c>
      <c r="G2">
        <v>25</v>
      </c>
      <c r="H2">
        <v>29</v>
      </c>
      <c r="I2">
        <v>28</v>
      </c>
      <c r="J2">
        <v>27</v>
      </c>
      <c r="K2">
        <v>30</v>
      </c>
      <c r="L2">
        <v>28</v>
      </c>
      <c r="M2">
        <v>30</v>
      </c>
      <c r="N2">
        <v>29</v>
      </c>
      <c r="O2">
        <f>(AVERAGE(B2:N2))/3</f>
        <v>8.9487179487179489</v>
      </c>
    </row>
    <row r="3" spans="1:15" x14ac:dyDescent="0.45">
      <c r="A3" t="s">
        <v>16</v>
      </c>
      <c r="B3">
        <v>18</v>
      </c>
      <c r="C3">
        <v>21</v>
      </c>
      <c r="D3">
        <v>23</v>
      </c>
      <c r="E3">
        <v>20</v>
      </c>
      <c r="F3">
        <v>24</v>
      </c>
      <c r="G3">
        <v>25</v>
      </c>
      <c r="H3">
        <v>24</v>
      </c>
      <c r="I3">
        <v>28</v>
      </c>
      <c r="J3">
        <v>24</v>
      </c>
      <c r="K3">
        <v>28</v>
      </c>
      <c r="L3">
        <v>29</v>
      </c>
      <c r="M3">
        <v>27</v>
      </c>
      <c r="N3">
        <v>30</v>
      </c>
      <c r="O3">
        <f t="shared" ref="O3:O14" si="0">(AVERAGE(B3:N3))/3</f>
        <v>8.2307692307692317</v>
      </c>
    </row>
    <row r="4" spans="1:15" x14ac:dyDescent="0.45">
      <c r="A4" t="s">
        <v>17</v>
      </c>
      <c r="B4">
        <v>23</v>
      </c>
      <c r="C4">
        <v>24</v>
      </c>
      <c r="D4">
        <v>27</v>
      </c>
      <c r="E4">
        <v>25</v>
      </c>
      <c r="F4">
        <v>24</v>
      </c>
      <c r="G4">
        <v>27</v>
      </c>
      <c r="H4">
        <v>29</v>
      </c>
      <c r="I4">
        <v>30</v>
      </c>
      <c r="J4">
        <v>30</v>
      </c>
      <c r="K4">
        <v>29</v>
      </c>
      <c r="L4">
        <v>29</v>
      </c>
      <c r="M4">
        <v>30</v>
      </c>
      <c r="N4">
        <v>30</v>
      </c>
      <c r="O4">
        <f t="shared" si="0"/>
        <v>9.1538461538461533</v>
      </c>
    </row>
    <row r="5" spans="1:15" x14ac:dyDescent="0.45">
      <c r="A5" t="s">
        <v>18</v>
      </c>
      <c r="B5">
        <v>21</v>
      </c>
      <c r="C5">
        <v>22</v>
      </c>
      <c r="D5">
        <v>23</v>
      </c>
      <c r="E5">
        <v>24</v>
      </c>
      <c r="F5">
        <v>25</v>
      </c>
      <c r="G5">
        <v>24</v>
      </c>
      <c r="H5">
        <v>28</v>
      </c>
      <c r="I5">
        <v>29</v>
      </c>
      <c r="J5">
        <v>25</v>
      </c>
      <c r="K5">
        <v>25</v>
      </c>
      <c r="L5">
        <v>28</v>
      </c>
      <c r="M5">
        <v>29</v>
      </c>
      <c r="N5">
        <v>30</v>
      </c>
      <c r="O5">
        <f t="shared" si="0"/>
        <v>8.5384615384615383</v>
      </c>
    </row>
    <row r="6" spans="1:15" x14ac:dyDescent="0.45">
      <c r="A6" t="s">
        <v>19</v>
      </c>
      <c r="B6">
        <v>20</v>
      </c>
      <c r="C6">
        <v>21</v>
      </c>
      <c r="D6">
        <v>23</v>
      </c>
      <c r="E6">
        <v>23</v>
      </c>
      <c r="F6">
        <v>27</v>
      </c>
      <c r="G6">
        <v>27</v>
      </c>
      <c r="H6">
        <v>28</v>
      </c>
      <c r="I6">
        <v>27</v>
      </c>
      <c r="J6">
        <v>24</v>
      </c>
      <c r="K6">
        <v>27</v>
      </c>
      <c r="L6">
        <v>27</v>
      </c>
      <c r="M6">
        <v>27</v>
      </c>
      <c r="N6">
        <v>29</v>
      </c>
      <c r="O6">
        <f t="shared" si="0"/>
        <v>8.4615384615384617</v>
      </c>
    </row>
    <row r="7" spans="1:15" x14ac:dyDescent="0.45">
      <c r="A7" t="s">
        <v>20</v>
      </c>
      <c r="B7">
        <v>22</v>
      </c>
      <c r="C7">
        <v>22</v>
      </c>
      <c r="D7">
        <v>17</v>
      </c>
      <c r="E7">
        <v>22</v>
      </c>
      <c r="F7">
        <v>22</v>
      </c>
      <c r="G7">
        <v>24</v>
      </c>
      <c r="H7">
        <v>28</v>
      </c>
      <c r="I7">
        <v>26</v>
      </c>
      <c r="J7">
        <v>22</v>
      </c>
      <c r="O7">
        <f t="shared" si="0"/>
        <v>7.5925925925925926</v>
      </c>
    </row>
    <row r="8" spans="1:15" x14ac:dyDescent="0.45">
      <c r="A8" t="s">
        <v>21</v>
      </c>
      <c r="B8">
        <v>19</v>
      </c>
      <c r="C8">
        <v>19</v>
      </c>
      <c r="D8">
        <v>23</v>
      </c>
      <c r="E8">
        <v>23</v>
      </c>
      <c r="F8">
        <v>24</v>
      </c>
      <c r="G8">
        <v>24</v>
      </c>
      <c r="H8">
        <v>28</v>
      </c>
      <c r="O8">
        <f t="shared" si="0"/>
        <v>7.6190476190476195</v>
      </c>
    </row>
    <row r="9" spans="1:15" x14ac:dyDescent="0.45">
      <c r="A9" t="s">
        <v>22</v>
      </c>
      <c r="B9">
        <v>19</v>
      </c>
      <c r="C9">
        <v>21</v>
      </c>
      <c r="D9">
        <v>23</v>
      </c>
      <c r="E9">
        <v>19</v>
      </c>
      <c r="F9">
        <v>24</v>
      </c>
      <c r="G9">
        <v>24</v>
      </c>
      <c r="O9">
        <f t="shared" si="0"/>
        <v>7.2222222222222223</v>
      </c>
    </row>
    <row r="10" spans="1:15" x14ac:dyDescent="0.45">
      <c r="A10" t="s">
        <v>23</v>
      </c>
      <c r="B10">
        <v>18</v>
      </c>
      <c r="C10">
        <v>20</v>
      </c>
      <c r="D10">
        <v>21</v>
      </c>
      <c r="E10">
        <v>25</v>
      </c>
      <c r="F10">
        <v>24</v>
      </c>
      <c r="O10">
        <f t="shared" si="0"/>
        <v>7.2</v>
      </c>
    </row>
    <row r="11" spans="1:15" x14ac:dyDescent="0.45">
      <c r="A11" t="s">
        <v>24</v>
      </c>
      <c r="B11">
        <v>15</v>
      </c>
      <c r="C11">
        <v>15</v>
      </c>
      <c r="D11">
        <v>18</v>
      </c>
      <c r="E11">
        <v>17</v>
      </c>
      <c r="O11">
        <f t="shared" si="0"/>
        <v>5.416666666666667</v>
      </c>
    </row>
    <row r="12" spans="1:15" x14ac:dyDescent="0.45">
      <c r="A12" t="s">
        <v>25</v>
      </c>
      <c r="B12">
        <v>16</v>
      </c>
      <c r="C12">
        <v>15</v>
      </c>
      <c r="D12">
        <v>16</v>
      </c>
      <c r="E12">
        <v>16</v>
      </c>
      <c r="O12">
        <f t="shared" si="0"/>
        <v>5.25</v>
      </c>
    </row>
    <row r="13" spans="1:15" x14ac:dyDescent="0.45">
      <c r="A13" t="s">
        <v>26</v>
      </c>
      <c r="B13">
        <v>17</v>
      </c>
      <c r="C13">
        <v>19</v>
      </c>
      <c r="O13">
        <f t="shared" si="0"/>
        <v>6</v>
      </c>
    </row>
    <row r="14" spans="1:15" x14ac:dyDescent="0.45">
      <c r="A14" t="s">
        <v>27</v>
      </c>
      <c r="B14">
        <v>18</v>
      </c>
      <c r="C14">
        <v>17</v>
      </c>
      <c r="O14">
        <f t="shared" si="0"/>
        <v>5.833333333333333</v>
      </c>
    </row>
    <row r="16" spans="1:15" ht="57" x14ac:dyDescent="0.45">
      <c r="A16" s="1" t="s">
        <v>42</v>
      </c>
      <c r="B16">
        <f>(AVERAGE(B2:B14))/3</f>
        <v>6.333333333333333</v>
      </c>
      <c r="C16">
        <f t="shared" ref="C16:N16" si="1">(AVERAGE(C2:C14))/3</f>
        <v>6.6153846153846159</v>
      </c>
      <c r="D16">
        <f t="shared" si="1"/>
        <v>7.2727272727272725</v>
      </c>
      <c r="E16">
        <f t="shared" si="1"/>
        <v>7.3030303030303036</v>
      </c>
      <c r="F16">
        <f t="shared" si="1"/>
        <v>8.1851851851851851</v>
      </c>
      <c r="G16">
        <f t="shared" si="1"/>
        <v>8.3333333333333339</v>
      </c>
      <c r="H16">
        <f t="shared" si="1"/>
        <v>9.238095238095239</v>
      </c>
      <c r="I16">
        <f t="shared" si="1"/>
        <v>9.3333333333333339</v>
      </c>
      <c r="J16">
        <f t="shared" si="1"/>
        <v>8.4444444444444446</v>
      </c>
      <c r="K16">
        <f t="shared" si="1"/>
        <v>9.2666666666666675</v>
      </c>
      <c r="L16">
        <f t="shared" si="1"/>
        <v>9.4</v>
      </c>
      <c r="M16">
        <f t="shared" si="1"/>
        <v>9.5333333333333332</v>
      </c>
      <c r="N16">
        <f t="shared" si="1"/>
        <v>9.8666666666666671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C260-7946-46E6-B83D-E4A787D3CA06}">
  <dimension ref="A1:P15"/>
  <sheetViews>
    <sheetView workbookViewId="0">
      <pane xSplit="1" topLeftCell="B1" activePane="topRight" state="frozen"/>
      <selection pane="topRight" activeCell="R10" sqref="R10"/>
    </sheetView>
  </sheetViews>
  <sheetFormatPr defaultRowHeight="14.25" x14ac:dyDescent="0.45"/>
  <sheetData>
    <row r="1" spans="1:16" x14ac:dyDescent="0.45">
      <c r="A1" t="s">
        <v>9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P1" t="s">
        <v>58</v>
      </c>
    </row>
    <row r="2" spans="1:16" x14ac:dyDescent="0.45">
      <c r="A2" t="s">
        <v>44</v>
      </c>
      <c r="B2">
        <v>24</v>
      </c>
      <c r="C2">
        <v>25</v>
      </c>
      <c r="D2">
        <v>29</v>
      </c>
      <c r="E2">
        <v>29</v>
      </c>
      <c r="F2">
        <v>27</v>
      </c>
      <c r="G2">
        <v>30</v>
      </c>
      <c r="H2">
        <v>29</v>
      </c>
      <c r="I2">
        <v>28</v>
      </c>
      <c r="J2">
        <v>30</v>
      </c>
      <c r="K2">
        <v>30</v>
      </c>
      <c r="L2">
        <v>30</v>
      </c>
      <c r="M2">
        <v>30</v>
      </c>
      <c r="N2">
        <v>30</v>
      </c>
      <c r="O2">
        <f>(AVERAGE(B2:N2))/3</f>
        <v>9.5128205128205128</v>
      </c>
      <c r="P2">
        <f>(MIN(B2:N2))/3</f>
        <v>8</v>
      </c>
    </row>
    <row r="3" spans="1:16" x14ac:dyDescent="0.45">
      <c r="A3" t="s">
        <v>45</v>
      </c>
      <c r="B3">
        <v>24</v>
      </c>
      <c r="C3">
        <v>24</v>
      </c>
      <c r="D3">
        <v>27</v>
      </c>
      <c r="E3">
        <v>26</v>
      </c>
      <c r="F3">
        <v>27</v>
      </c>
      <c r="G3">
        <v>28</v>
      </c>
      <c r="H3">
        <v>27</v>
      </c>
      <c r="I3">
        <v>30</v>
      </c>
      <c r="J3">
        <v>29</v>
      </c>
      <c r="K3">
        <v>29</v>
      </c>
      <c r="L3">
        <v>30</v>
      </c>
      <c r="M3">
        <v>29</v>
      </c>
      <c r="N3">
        <v>30</v>
      </c>
      <c r="O3">
        <f t="shared" ref="O3:O13" si="0">(AVERAGE(B3:N3))/3</f>
        <v>9.2307692307692317</v>
      </c>
      <c r="P3">
        <f t="shared" ref="P3:P13" si="1">(MIN(B3:N3))/3</f>
        <v>8</v>
      </c>
    </row>
    <row r="4" spans="1:16" x14ac:dyDescent="0.45">
      <c r="A4" t="s">
        <v>46</v>
      </c>
      <c r="B4">
        <v>25</v>
      </c>
      <c r="C4">
        <v>21</v>
      </c>
      <c r="D4">
        <v>24</v>
      </c>
      <c r="E4">
        <v>21</v>
      </c>
      <c r="F4">
        <v>26</v>
      </c>
      <c r="G4">
        <v>24</v>
      </c>
      <c r="H4">
        <v>26</v>
      </c>
      <c r="I4">
        <v>27</v>
      </c>
      <c r="J4">
        <v>25</v>
      </c>
      <c r="K4">
        <v>28</v>
      </c>
      <c r="L4">
        <v>27</v>
      </c>
      <c r="M4">
        <v>24</v>
      </c>
      <c r="N4">
        <v>27</v>
      </c>
      <c r="O4">
        <f t="shared" si="0"/>
        <v>8.3333333333333339</v>
      </c>
      <c r="P4">
        <f t="shared" si="1"/>
        <v>7</v>
      </c>
    </row>
    <row r="5" spans="1:16" x14ac:dyDescent="0.45">
      <c r="A5" t="s">
        <v>43</v>
      </c>
      <c r="B5">
        <v>21</v>
      </c>
      <c r="C5">
        <v>25</v>
      </c>
      <c r="D5">
        <v>27</v>
      </c>
      <c r="E5">
        <v>27</v>
      </c>
      <c r="F5">
        <v>30</v>
      </c>
      <c r="G5">
        <v>26</v>
      </c>
      <c r="H5">
        <v>26</v>
      </c>
      <c r="I5">
        <v>26</v>
      </c>
      <c r="J5">
        <v>30</v>
      </c>
      <c r="K5">
        <v>27</v>
      </c>
      <c r="L5">
        <v>29</v>
      </c>
      <c r="M5">
        <v>29</v>
      </c>
      <c r="O5">
        <f t="shared" si="0"/>
        <v>8.9722222222222232</v>
      </c>
      <c r="P5">
        <f t="shared" si="1"/>
        <v>7</v>
      </c>
    </row>
    <row r="6" spans="1:16" x14ac:dyDescent="0.45">
      <c r="A6" t="s">
        <v>47</v>
      </c>
      <c r="B6">
        <v>27</v>
      </c>
      <c r="C6">
        <v>25</v>
      </c>
      <c r="D6">
        <v>27</v>
      </c>
      <c r="E6">
        <v>25</v>
      </c>
      <c r="F6">
        <v>28</v>
      </c>
      <c r="G6">
        <v>27</v>
      </c>
      <c r="H6">
        <v>26</v>
      </c>
      <c r="I6">
        <v>30</v>
      </c>
      <c r="J6">
        <v>30</v>
      </c>
      <c r="K6">
        <v>27</v>
      </c>
      <c r="O6">
        <f t="shared" si="0"/>
        <v>9.0666666666666664</v>
      </c>
      <c r="P6">
        <f t="shared" si="1"/>
        <v>8.3333333333333339</v>
      </c>
    </row>
    <row r="7" spans="1:16" x14ac:dyDescent="0.45">
      <c r="A7" t="s">
        <v>48</v>
      </c>
      <c r="B7">
        <v>24</v>
      </c>
      <c r="C7">
        <v>24</v>
      </c>
      <c r="D7">
        <v>27</v>
      </c>
      <c r="E7">
        <v>24</v>
      </c>
      <c r="F7">
        <v>29</v>
      </c>
      <c r="G7">
        <v>27</v>
      </c>
      <c r="H7">
        <v>24</v>
      </c>
      <c r="I7">
        <v>29</v>
      </c>
      <c r="O7">
        <f t="shared" si="0"/>
        <v>8.6666666666666661</v>
      </c>
      <c r="P7">
        <f t="shared" si="1"/>
        <v>8</v>
      </c>
    </row>
    <row r="8" spans="1:16" x14ac:dyDescent="0.45">
      <c r="A8" t="s">
        <v>49</v>
      </c>
      <c r="B8">
        <v>21</v>
      </c>
      <c r="C8">
        <v>21</v>
      </c>
      <c r="D8">
        <v>23</v>
      </c>
      <c r="E8">
        <v>24</v>
      </c>
      <c r="F8">
        <v>27</v>
      </c>
      <c r="G8">
        <v>24</v>
      </c>
      <c r="H8">
        <v>24</v>
      </c>
      <c r="O8">
        <f t="shared" si="0"/>
        <v>7.8095238095238093</v>
      </c>
      <c r="P8">
        <f t="shared" si="1"/>
        <v>7</v>
      </c>
    </row>
    <row r="9" spans="1:16" x14ac:dyDescent="0.45">
      <c r="A9" t="s">
        <v>50</v>
      </c>
      <c r="B9">
        <v>21</v>
      </c>
      <c r="C9">
        <v>21</v>
      </c>
      <c r="D9">
        <v>22</v>
      </c>
      <c r="E9">
        <v>24</v>
      </c>
      <c r="F9">
        <v>21</v>
      </c>
      <c r="G9">
        <v>23</v>
      </c>
      <c r="O9">
        <f t="shared" si="0"/>
        <v>7.333333333333333</v>
      </c>
      <c r="P9">
        <f t="shared" si="1"/>
        <v>7</v>
      </c>
    </row>
    <row r="10" spans="1:16" x14ac:dyDescent="0.45">
      <c r="A10" t="s">
        <v>51</v>
      </c>
      <c r="B10">
        <v>22</v>
      </c>
      <c r="C10">
        <v>22</v>
      </c>
      <c r="D10">
        <v>27</v>
      </c>
      <c r="E10">
        <v>23</v>
      </c>
      <c r="F10">
        <v>24</v>
      </c>
      <c r="O10">
        <f t="shared" si="0"/>
        <v>7.8666666666666671</v>
      </c>
      <c r="P10">
        <f t="shared" si="1"/>
        <v>7.333333333333333</v>
      </c>
    </row>
    <row r="11" spans="1:16" x14ac:dyDescent="0.45">
      <c r="A11" t="s">
        <v>52</v>
      </c>
      <c r="B11">
        <v>15</v>
      </c>
      <c r="C11">
        <v>15</v>
      </c>
      <c r="O11">
        <f t="shared" si="0"/>
        <v>5</v>
      </c>
      <c r="P11">
        <f t="shared" si="1"/>
        <v>5</v>
      </c>
    </row>
    <row r="12" spans="1:16" x14ac:dyDescent="0.45">
      <c r="A12" t="s">
        <v>53</v>
      </c>
      <c r="B12">
        <v>20</v>
      </c>
      <c r="C12">
        <v>21</v>
      </c>
      <c r="O12">
        <f t="shared" si="0"/>
        <v>6.833333333333333</v>
      </c>
      <c r="P12">
        <f t="shared" si="1"/>
        <v>6.666666666666667</v>
      </c>
    </row>
    <row r="13" spans="1:16" x14ac:dyDescent="0.45">
      <c r="A13" t="s">
        <v>54</v>
      </c>
      <c r="B13">
        <v>18</v>
      </c>
      <c r="O13">
        <f t="shared" si="0"/>
        <v>6</v>
      </c>
      <c r="P13">
        <f t="shared" si="1"/>
        <v>6</v>
      </c>
    </row>
    <row r="15" spans="1:16" ht="28.5" x14ac:dyDescent="0.45">
      <c r="A15" s="1" t="s">
        <v>55</v>
      </c>
      <c r="B15">
        <f>(AVERAGE(B2:B13))/3</f>
        <v>7.2777777777777777</v>
      </c>
      <c r="C15">
        <f t="shared" ref="C15:N15" si="2">(AVERAGE(C2:C13))/3</f>
        <v>7.3939393939393945</v>
      </c>
      <c r="D15">
        <f t="shared" si="2"/>
        <v>8.6296296296296298</v>
      </c>
      <c r="E15">
        <f t="shared" si="2"/>
        <v>8.2592592592592595</v>
      </c>
      <c r="F15">
        <f t="shared" si="2"/>
        <v>8.851851851851853</v>
      </c>
      <c r="G15">
        <f t="shared" si="2"/>
        <v>8.7083333333333339</v>
      </c>
      <c r="H15">
        <f t="shared" si="2"/>
        <v>8.6666666666666661</v>
      </c>
      <c r="I15">
        <f t="shared" si="2"/>
        <v>9.4444444444444446</v>
      </c>
      <c r="J15">
        <f t="shared" si="2"/>
        <v>9.6</v>
      </c>
      <c r="K15">
        <f t="shared" si="2"/>
        <v>9.4</v>
      </c>
      <c r="L15">
        <f t="shared" si="2"/>
        <v>9.6666666666666661</v>
      </c>
      <c r="M15">
        <f t="shared" si="2"/>
        <v>9.3333333333333339</v>
      </c>
      <c r="N15">
        <f t="shared" si="2"/>
        <v>9.6666666666666661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F6A84-605C-4C1F-B61E-307F44AE44F6}">
  <dimension ref="A1:N3"/>
  <sheetViews>
    <sheetView tabSelected="1" topLeftCell="C5" zoomScale="120" zoomScaleNormal="120" workbookViewId="0">
      <selection activeCell="T19" sqref="T19"/>
    </sheetView>
  </sheetViews>
  <sheetFormatPr defaultRowHeight="14.25" x14ac:dyDescent="0.45"/>
  <sheetData>
    <row r="1" spans="1:14" x14ac:dyDescent="0.45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  <row r="2" spans="1:14" x14ac:dyDescent="0.45">
      <c r="A2" t="s">
        <v>56</v>
      </c>
      <c r="B2">
        <v>7.2777777777777777</v>
      </c>
      <c r="C2">
        <v>7.3939393939393945</v>
      </c>
      <c r="D2">
        <v>8.6296296296296298</v>
      </c>
      <c r="E2">
        <v>8.2592592592592595</v>
      </c>
      <c r="F2">
        <v>8.851851851851853</v>
      </c>
      <c r="G2">
        <v>8.7083333333333339</v>
      </c>
      <c r="H2">
        <v>8.6666666666666661</v>
      </c>
      <c r="I2">
        <v>9.4444444444444446</v>
      </c>
      <c r="J2">
        <v>9.6</v>
      </c>
      <c r="K2">
        <v>9.4</v>
      </c>
      <c r="L2">
        <v>9.6666666666666661</v>
      </c>
      <c r="M2">
        <v>9.3333333333333339</v>
      </c>
      <c r="N2">
        <v>9.6666666666666661</v>
      </c>
    </row>
    <row r="3" spans="1:14" x14ac:dyDescent="0.45">
      <c r="A3" t="s">
        <v>57</v>
      </c>
      <c r="B3">
        <v>6.333333333333333</v>
      </c>
      <c r="C3">
        <v>6.6153846153846159</v>
      </c>
      <c r="D3">
        <v>7.2727272727272725</v>
      </c>
      <c r="E3">
        <v>7.3030303030303036</v>
      </c>
      <c r="F3">
        <v>8.1851851851851851</v>
      </c>
      <c r="G3">
        <v>8.3333333333333339</v>
      </c>
      <c r="H3">
        <v>9.238095238095239</v>
      </c>
      <c r="I3">
        <v>9.3333333333333339</v>
      </c>
      <c r="J3">
        <v>8.4444444444444446</v>
      </c>
      <c r="K3">
        <v>9.2666666666666675</v>
      </c>
      <c r="L3">
        <v>9.4</v>
      </c>
      <c r="M3">
        <v>9.5333333333333332</v>
      </c>
      <c r="N3">
        <v>9.8666666666666671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Season33_Data</vt:lpstr>
      <vt:lpstr>Season23_Data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Burleson</dc:creator>
  <cp:lastModifiedBy>Jake Burleson</cp:lastModifiedBy>
  <dcterms:created xsi:type="dcterms:W3CDTF">2025-10-30T19:38:52Z</dcterms:created>
  <dcterms:modified xsi:type="dcterms:W3CDTF">2025-10-31T03:15:24Z</dcterms:modified>
</cp:coreProperties>
</file>