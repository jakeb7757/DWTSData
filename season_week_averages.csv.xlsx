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quie\Documents\DWTS_Data\"/>
    </mc:Choice>
  </mc:AlternateContent>
  <xr:revisionPtr revIDLastSave="0" documentId="13_ncr:1_{519F2FC0-BFFC-48A6-A30A-7D052ED23CA6}" xr6:coauthVersionLast="47" xr6:coauthVersionMax="47" xr10:uidLastSave="{00000000-0000-0000-0000-000000000000}"/>
  <bookViews>
    <workbookView xWindow="-98" yWindow="-98" windowWidth="21795" windowHeight="12975" activeTab="1" xr2:uid="{EC59CC5A-2349-44DA-BEC9-6882A411363C}"/>
  </bookViews>
  <sheets>
    <sheet name="season_week_averages" sheetId="1" r:id="rId1"/>
    <sheet name="season3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D16" i="2"/>
  <c r="E16" i="2"/>
  <c r="F16" i="2"/>
  <c r="G16" i="2"/>
  <c r="H16" i="2"/>
  <c r="B16" i="2"/>
  <c r="H10" i="2"/>
  <c r="H9" i="2"/>
  <c r="H8" i="2"/>
  <c r="H7" i="2"/>
  <c r="H6" i="2"/>
  <c r="H5" i="2"/>
  <c r="H4" i="2"/>
  <c r="H3" i="2"/>
  <c r="H2" i="2"/>
  <c r="G11" i="2"/>
  <c r="G10" i="2"/>
  <c r="G9" i="2"/>
  <c r="G8" i="2"/>
  <c r="G7" i="2"/>
  <c r="G6" i="2"/>
  <c r="G5" i="2"/>
  <c r="G4" i="2"/>
  <c r="G3" i="2"/>
  <c r="G2" i="2"/>
  <c r="F11" i="2"/>
  <c r="F10" i="2"/>
  <c r="F9" i="2"/>
  <c r="F8" i="2"/>
  <c r="F7" i="2"/>
  <c r="F6" i="2"/>
  <c r="F5" i="2"/>
  <c r="F4" i="2"/>
  <c r="F3" i="2"/>
  <c r="F2" i="2"/>
  <c r="E12" i="2"/>
  <c r="E10" i="2"/>
  <c r="E9" i="2"/>
  <c r="E8" i="2"/>
  <c r="E5" i="2"/>
  <c r="D13" i="2"/>
  <c r="D12" i="2"/>
  <c r="D11" i="2"/>
  <c r="D10" i="2"/>
  <c r="D9" i="2"/>
  <c r="D8" i="2"/>
  <c r="D5" i="2"/>
  <c r="D3" i="2"/>
  <c r="D2" i="2"/>
  <c r="C15" i="2"/>
  <c r="C11" i="2"/>
  <c r="C10" i="2"/>
  <c r="C9" i="2"/>
  <c r="C8" i="2"/>
  <c r="C7" i="2"/>
  <c r="C6" i="2"/>
  <c r="C5" i="2"/>
  <c r="C4" i="2"/>
  <c r="C3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</calcChain>
</file>

<file path=xl/sharedStrings.xml><?xml version="1.0" encoding="utf-8"?>
<sst xmlns="http://schemas.openxmlformats.org/spreadsheetml/2006/main" count="35" uniqueCount="35">
  <si>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</si>
  <si>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</si>
  <si>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</si>
  <si>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</si>
  <si>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</si>
  <si>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</si>
  <si>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</si>
  <si>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</si>
  <si>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</si>
  <si>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</si>
  <si>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</si>
  <si>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Total Average</t>
  </si>
  <si>
    <t>Standard Deviation</t>
  </si>
  <si>
    <t>Week 1</t>
  </si>
  <si>
    <t>Week 2</t>
  </si>
  <si>
    <t>Week 3</t>
  </si>
  <si>
    <t>Week 4</t>
  </si>
  <si>
    <t>Week 5</t>
  </si>
  <si>
    <t>Week 6</t>
  </si>
  <si>
    <t>Week 7</t>
  </si>
  <si>
    <t>Alix</t>
  </si>
  <si>
    <t>Andy</t>
  </si>
  <si>
    <t>Danielle</t>
  </si>
  <si>
    <t>Dylan</t>
  </si>
  <si>
    <t>Elaine</t>
  </si>
  <si>
    <t>Jordan</t>
  </si>
  <si>
    <t>Robert</t>
  </si>
  <si>
    <t>Whitney</t>
  </si>
  <si>
    <t>Jen</t>
  </si>
  <si>
    <t>Scott</t>
  </si>
  <si>
    <t>Hilaria</t>
  </si>
  <si>
    <t>Lauren</t>
  </si>
  <si>
    <t>Corey</t>
  </si>
  <si>
    <t>Baron</t>
  </si>
  <si>
    <t>Weekly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</si>
</sst>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season_week_averages!$A$2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season_week_averages!$B$2:$H$2</c:f>
              <c:numCache>
                <c:formatCode>0.00</c:formatCode>
                <c:ptCount val="7"/>
                <c:pt idx="0">
                  <c:v>6.1666666666666599</c:v>
                </c:pt>
                <c:pt idx="1">
                  <c:v>6.8333333333333304</c:v>
                </c:pt>
                <c:pt idx="2">
                  <c:v>7</c:v>
                </c:pt>
                <c:pt idx="3">
                  <c:v>7.75</c:v>
                </c:pt>
                <c:pt idx="4">
                  <c:v>8.3333333333333304</c:v>
                </c:pt>
                <c:pt idx="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8C-4DA7-ADE4-F5C8B0629223}"/>
            </c:ext>
          </c:extLst>
        </c:ser>
        <c:ser>
          <c:idx val="1"/>
          <c:order val="1"/>
          <c:tx>
            <c:strRef>
              <c:f>season_week_averages!$A$3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season_week_averages!$B$3:$H$3</c:f>
              <c:numCache>
                <c:formatCode>0.00</c:formatCode>
                <c:ptCount val="7"/>
                <c:pt idx="0">
                  <c:v>6.5</c:v>
                </c:pt>
                <c:pt idx="1">
                  <c:v>7.4444444444444402</c:v>
                </c:pt>
                <c:pt idx="2">
                  <c:v>7.5</c:v>
                </c:pt>
                <c:pt idx="3">
                  <c:v>7.5714285714285703</c:v>
                </c:pt>
                <c:pt idx="4">
                  <c:v>8.3333333333333304</c:v>
                </c:pt>
                <c:pt idx="5">
                  <c:v>9</c:v>
                </c:pt>
                <c:pt idx="6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8C-4DA7-ADE4-F5C8B0629223}"/>
            </c:ext>
          </c:extLst>
        </c:ser>
        <c:ser>
          <c:idx val="2"/>
          <c:order val="2"/>
          <c:tx>
            <c:strRef>
              <c:f>season_week_averages!$A$4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season_week_averages!$B$4:$H$4</c:f>
              <c:numCache>
                <c:formatCode>0.00</c:formatCode>
                <c:ptCount val="7"/>
                <c:pt idx="0">
                  <c:v>6.3636363636363598</c:v>
                </c:pt>
                <c:pt idx="1">
                  <c:v>7.7</c:v>
                </c:pt>
                <c:pt idx="2">
                  <c:v>7.4444444444444402</c:v>
                </c:pt>
                <c:pt idx="3">
                  <c:v>8.25</c:v>
                </c:pt>
                <c:pt idx="4">
                  <c:v>8.5714285714285694</c:v>
                </c:pt>
                <c:pt idx="5">
                  <c:v>7.8</c:v>
                </c:pt>
                <c:pt idx="6">
                  <c:v>9.1999999999999993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8C-4DA7-ADE4-F5C8B0629223}"/>
            </c:ext>
          </c:extLst>
        </c:ser>
        <c:ser>
          <c:idx val="3"/>
          <c:order val="3"/>
          <c:tx>
            <c:strRef>
              <c:f>season_week_averages!$A$5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season_week_averages!$B$5:$H$5</c:f>
              <c:numCache>
                <c:formatCode>0.00</c:formatCode>
                <c:ptCount val="7"/>
                <c:pt idx="0">
                  <c:v>6.1818181818181799</c:v>
                </c:pt>
                <c:pt idx="1">
                  <c:v>7.4545454545454497</c:v>
                </c:pt>
                <c:pt idx="2">
                  <c:v>7.3</c:v>
                </c:pt>
                <c:pt idx="3">
                  <c:v>7</c:v>
                </c:pt>
                <c:pt idx="4">
                  <c:v>7.25</c:v>
                </c:pt>
                <c:pt idx="5">
                  <c:v>8</c:v>
                </c:pt>
                <c:pt idx="6">
                  <c:v>8.6666666666666607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8C-4DA7-ADE4-F5C8B0629223}"/>
            </c:ext>
          </c:extLst>
        </c:ser>
        <c:ser>
          <c:idx val="4"/>
          <c:order val="4"/>
          <c:tx>
            <c:strRef>
              <c:f>season_week_averages!$A$6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season_week_averages!$B$6:$H$6</c:f>
              <c:numCache>
                <c:formatCode>0.00</c:formatCode>
                <c:ptCount val="7"/>
                <c:pt idx="0">
                  <c:v>7.0833333333333304</c:v>
                </c:pt>
                <c:pt idx="1">
                  <c:v>7.2727272727272698</c:v>
                </c:pt>
                <c:pt idx="2">
                  <c:v>8.1</c:v>
                </c:pt>
                <c:pt idx="3">
                  <c:v>8.7777777777777697</c:v>
                </c:pt>
                <c:pt idx="4">
                  <c:v>8.375</c:v>
                </c:pt>
                <c:pt idx="5">
                  <c:v>8.4285714285714199</c:v>
                </c:pt>
                <c:pt idx="6">
                  <c:v>8.8333333333333304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8C-4DA7-ADE4-F5C8B0629223}"/>
            </c:ext>
          </c:extLst>
        </c:ser>
        <c:ser>
          <c:idx val="5"/>
          <c:order val="5"/>
          <c:tx>
            <c:strRef>
              <c:f>season_week_averages!$A$7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season_week_averages!$B$7:$H$7</c:f>
              <c:numCache>
                <c:formatCode>0.00</c:formatCode>
                <c:ptCount val="7"/>
                <c:pt idx="0">
                  <c:v>6.6666666666666599</c:v>
                </c:pt>
                <c:pt idx="1">
                  <c:v>7.1666666666666599</c:v>
                </c:pt>
                <c:pt idx="2">
                  <c:v>7.6</c:v>
                </c:pt>
                <c:pt idx="3">
                  <c:v>8.3333333333333304</c:v>
                </c:pt>
                <c:pt idx="4">
                  <c:v>8.25</c:v>
                </c:pt>
                <c:pt idx="5">
                  <c:v>8.5714285714285694</c:v>
                </c:pt>
                <c:pt idx="6">
                  <c:v>8.8333333333333304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8C-4DA7-ADE4-F5C8B0629223}"/>
            </c:ext>
          </c:extLst>
        </c:ser>
        <c:ser>
          <c:idx val="6"/>
          <c:order val="6"/>
          <c:tx>
            <c:strRef>
              <c:f>season_week_averages!$A$8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season_week_averages!$B$8:$H$8</c:f>
              <c:numCache>
                <c:formatCode>0.00</c:formatCode>
                <c:ptCount val="7"/>
                <c:pt idx="0">
                  <c:v>6.4615384615384599</c:v>
                </c:pt>
                <c:pt idx="1">
                  <c:v>6.7272727272727204</c:v>
                </c:pt>
                <c:pt idx="2">
                  <c:v>7.2222222222222197</c:v>
                </c:pt>
                <c:pt idx="3">
                  <c:v>7.55555555555555</c:v>
                </c:pt>
                <c:pt idx="4">
                  <c:v>8</c:v>
                </c:pt>
                <c:pt idx="5">
                  <c:v>7.71428571428571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8C-4DA7-ADE4-F5C8B0629223}"/>
            </c:ext>
          </c:extLst>
        </c:ser>
        <c:ser>
          <c:idx val="7"/>
          <c:order val="7"/>
          <c:tx>
            <c:strRef>
              <c:f>season_week_averages!$A$9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season_week_averages!$B$9:$H$9</c:f>
              <c:numCache>
                <c:formatCode>0.00</c:formatCode>
                <c:ptCount val="7"/>
                <c:pt idx="0">
                  <c:v>6.3076923076923004</c:v>
                </c:pt>
                <c:pt idx="1">
                  <c:v>7</c:v>
                </c:pt>
                <c:pt idx="2">
                  <c:v>7.0833333333333304</c:v>
                </c:pt>
                <c:pt idx="3">
                  <c:v>7.1818181818181799</c:v>
                </c:pt>
                <c:pt idx="4">
                  <c:v>7.8888888888888804</c:v>
                </c:pt>
                <c:pt idx="5">
                  <c:v>7.75</c:v>
                </c:pt>
                <c:pt idx="6">
                  <c:v>8.71428571428571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B8C-4DA7-ADE4-F5C8B0629223}"/>
            </c:ext>
          </c:extLst>
        </c:ser>
        <c:ser>
          <c:idx val="8"/>
          <c:order val="8"/>
          <c:tx>
            <c:strRef>
              <c:f>season_week_averages!$A$10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season_week_averages!$B$10:$H$10</c:f>
              <c:numCache>
                <c:formatCode>0.00</c:formatCode>
                <c:ptCount val="7"/>
                <c:pt idx="0">
                  <c:v>6</c:v>
                </c:pt>
                <c:pt idx="1">
                  <c:v>6.9285714285714199</c:v>
                </c:pt>
                <c:pt idx="2">
                  <c:v>6.7692307692307603</c:v>
                </c:pt>
                <c:pt idx="3">
                  <c:v>7.2727272727272698</c:v>
                </c:pt>
                <c:pt idx="4">
                  <c:v>8.1</c:v>
                </c:pt>
                <c:pt idx="5">
                  <c:v>7.7777777777777697</c:v>
                </c:pt>
                <c:pt idx="6">
                  <c:v>8.1428571428571406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B8C-4DA7-ADE4-F5C8B0629223}"/>
            </c:ext>
          </c:extLst>
        </c:ser>
        <c:ser>
          <c:idx val="9"/>
          <c:order val="9"/>
          <c:tx>
            <c:strRef>
              <c:f>season_week_averages!$A$11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season_week_averages!$B$11:$H$11</c:f>
              <c:numCache>
                <c:formatCode>0.00</c:formatCode>
                <c:ptCount val="7"/>
                <c:pt idx="0">
                  <c:v>6.3636363636363598</c:v>
                </c:pt>
                <c:pt idx="1">
                  <c:v>6.6363636363636296</c:v>
                </c:pt>
                <c:pt idx="2">
                  <c:v>6.9</c:v>
                </c:pt>
                <c:pt idx="3">
                  <c:v>6.8888888888888804</c:v>
                </c:pt>
                <c:pt idx="4">
                  <c:v>7.25</c:v>
                </c:pt>
                <c:pt idx="5">
                  <c:v>7.5714285714285703</c:v>
                </c:pt>
                <c:pt idx="6">
                  <c:v>8.6666666666666607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B8C-4DA7-ADE4-F5C8B0629223}"/>
            </c:ext>
          </c:extLst>
        </c:ser>
        <c:ser>
          <c:idx val="10"/>
          <c:order val="10"/>
          <c:tx>
            <c:strRef>
              <c:f>season_week_averages!$A$12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season_week_averages!$B$12:$H$12</c:f>
              <c:numCache>
                <c:formatCode>0.00</c:formatCode>
                <c:ptCount val="7"/>
                <c:pt idx="0">
                  <c:v>6.25</c:v>
                </c:pt>
                <c:pt idx="1">
                  <c:v>6.6363636363636296</c:v>
                </c:pt>
                <c:pt idx="2">
                  <c:v>7.5</c:v>
                </c:pt>
                <c:pt idx="3">
                  <c:v>6.7777777777777697</c:v>
                </c:pt>
                <c:pt idx="4">
                  <c:v>7.625</c:v>
                </c:pt>
                <c:pt idx="5">
                  <c:v>7.71428571428571</c:v>
                </c:pt>
                <c:pt idx="6">
                  <c:v>8.8333333333333304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B8C-4DA7-ADE4-F5C8B0629223}"/>
            </c:ext>
          </c:extLst>
        </c:ser>
        <c:ser>
          <c:idx val="11"/>
          <c:order val="11"/>
          <c:tx>
            <c:strRef>
              <c:f>season_week_averages!$A$13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season_week_averages!$B$13:$H$13</c:f>
              <c:numCache>
                <c:formatCode>0.00</c:formatCode>
                <c:ptCount val="7"/>
                <c:pt idx="0">
                  <c:v>6.2727272727272698</c:v>
                </c:pt>
                <c:pt idx="1">
                  <c:v>6.7272727272727204</c:v>
                </c:pt>
                <c:pt idx="2">
                  <c:v>7.2</c:v>
                </c:pt>
                <c:pt idx="3">
                  <c:v>7.6666666666666599</c:v>
                </c:pt>
                <c:pt idx="4">
                  <c:v>8.125</c:v>
                </c:pt>
                <c:pt idx="5">
                  <c:v>8.4285714285714199</c:v>
                </c:pt>
                <c:pt idx="6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B8C-4DA7-ADE4-F5C8B0629223}"/>
            </c:ext>
          </c:extLst>
        </c:ser>
        <c:ser>
          <c:idx val="12"/>
          <c:order val="12"/>
          <c:tx>
            <c:strRef>
              <c:f>season_week_averages!$A$14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season_week_averages!$B$14:$H$14</c:f>
              <c:numCache>
                <c:formatCode>0.00</c:formatCode>
                <c:ptCount val="7"/>
                <c:pt idx="0">
                  <c:v>6</c:v>
                </c:pt>
                <c:pt idx="1">
                  <c:v>6.7272727272727204</c:v>
                </c:pt>
                <c:pt idx="2">
                  <c:v>8</c:v>
                </c:pt>
                <c:pt idx="3">
                  <c:v>7.8888888888888804</c:v>
                </c:pt>
                <c:pt idx="4">
                  <c:v>7.625</c:v>
                </c:pt>
                <c:pt idx="5">
                  <c:v>8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B8C-4DA7-ADE4-F5C8B0629223}"/>
            </c:ext>
          </c:extLst>
        </c:ser>
        <c:ser>
          <c:idx val="13"/>
          <c:order val="13"/>
          <c:tx>
            <c:strRef>
              <c:f>season_week_averages!$A$15</c:f>
              <c:strCache>
                <c:ptCount val="1"/>
                <c:pt idx="0">
                  <c:v>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season_week_averages!$B$15:$H$15</c:f>
              <c:numCache>
                <c:formatCode>0.00</c:formatCode>
                <c:ptCount val="7"/>
                <c:pt idx="0">
                  <c:v>7.75</c:v>
                </c:pt>
                <c:pt idx="1">
                  <c:v>7.5</c:v>
                </c:pt>
                <c:pt idx="2">
                  <c:v>8.4545454545454497</c:v>
                </c:pt>
                <c:pt idx="3">
                  <c:v>7.8</c:v>
                </c:pt>
                <c:pt idx="4">
                  <c:v>8.3333333333333304</c:v>
                </c:pt>
                <c:pt idx="5">
                  <c:v>8.75</c:v>
                </c:pt>
                <c:pt idx="6">
                  <c:v>8.5714285714285694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B8C-4DA7-ADE4-F5C8B0629223}"/>
            </c:ext>
          </c:extLst>
        </c:ser>
        <c:ser>
          <c:idx val="14"/>
          <c:order val="14"/>
          <c:tx>
            <c:strRef>
              <c:f>season_week_averages!$A$16</c:f>
              <c:strCache>
                <c:ptCount val="1"/>
                <c:pt idx="0">
                  <c:v>15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season_week_averages!$B$16:$H$16</c:f>
              <c:numCache>
                <c:formatCode>0.00</c:formatCode>
                <c:ptCount val="7"/>
                <c:pt idx="0">
                  <c:v>7.0769230769230704</c:v>
                </c:pt>
                <c:pt idx="1">
                  <c:v>7.8333333333333304</c:v>
                </c:pt>
                <c:pt idx="2">
                  <c:v>8.6363636363636296</c:v>
                </c:pt>
                <c:pt idx="3">
                  <c:v>9</c:v>
                </c:pt>
                <c:pt idx="4">
                  <c:v>9.25</c:v>
                </c:pt>
                <c:pt idx="5">
                  <c:v>9.375</c:v>
                </c:pt>
                <c:pt idx="6">
                  <c:v>9.2857142857142794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B8C-4DA7-ADE4-F5C8B0629223}"/>
            </c:ext>
          </c:extLst>
        </c:ser>
        <c:ser>
          <c:idx val="15"/>
          <c:order val="15"/>
          <c:tx>
            <c:strRef>
              <c:f>season_week_averages!$A$17</c:f>
              <c:strCache>
                <c:ptCount val="1"/>
                <c:pt idx="0">
                  <c:v>16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season_week_averages!$B$17:$H$17</c:f>
              <c:numCache>
                <c:formatCode>0.00</c:formatCode>
                <c:ptCount val="7"/>
                <c:pt idx="0">
                  <c:v>6.4166666666666599</c:v>
                </c:pt>
                <c:pt idx="1">
                  <c:v>6.9166666666666599</c:v>
                </c:pt>
                <c:pt idx="2">
                  <c:v>7</c:v>
                </c:pt>
                <c:pt idx="3">
                  <c:v>7.6</c:v>
                </c:pt>
                <c:pt idx="4">
                  <c:v>7.7777777777777697</c:v>
                </c:pt>
                <c:pt idx="5">
                  <c:v>8</c:v>
                </c:pt>
                <c:pt idx="6">
                  <c:v>8.4285714285714199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B8C-4DA7-ADE4-F5C8B0629223}"/>
            </c:ext>
          </c:extLst>
        </c:ser>
        <c:ser>
          <c:idx val="16"/>
          <c:order val="16"/>
          <c:tx>
            <c:strRef>
              <c:f>season_week_averages!$A$18</c:f>
              <c:strCache>
                <c:ptCount val="1"/>
                <c:pt idx="0">
                  <c:v>17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season_week_averages!$B$18:$H$18</c:f>
              <c:numCache>
                <c:formatCode>0.00</c:formatCode>
                <c:ptCount val="7"/>
                <c:pt idx="0">
                  <c:v>7.1666666666666599</c:v>
                </c:pt>
                <c:pt idx="1">
                  <c:v>7.4166666666666599</c:v>
                </c:pt>
                <c:pt idx="2">
                  <c:v>7.6363636363636296</c:v>
                </c:pt>
                <c:pt idx="3">
                  <c:v>7.9</c:v>
                </c:pt>
                <c:pt idx="4">
                  <c:v>8.6666666666666607</c:v>
                </c:pt>
                <c:pt idx="5">
                  <c:v>8.75</c:v>
                </c:pt>
                <c:pt idx="6">
                  <c:v>9.125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B8C-4DA7-ADE4-F5C8B0629223}"/>
            </c:ext>
          </c:extLst>
        </c:ser>
        <c:ser>
          <c:idx val="17"/>
          <c:order val="17"/>
          <c:tx>
            <c:strRef>
              <c:f>season_week_averages!$A$19</c:f>
              <c:strCache>
                <c:ptCount val="1"/>
                <c:pt idx="0">
                  <c:v>18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season_week_averages!$B$19:$H$19</c:f>
              <c:numCache>
                <c:formatCode>0.00</c:formatCode>
                <c:ptCount val="7"/>
                <c:pt idx="0">
                  <c:v>7.25</c:v>
                </c:pt>
                <c:pt idx="1">
                  <c:v>7.2727272727272698</c:v>
                </c:pt>
                <c:pt idx="2">
                  <c:v>8.7777777777777697</c:v>
                </c:pt>
                <c:pt idx="3">
                  <c:v>8.3333333333333304</c:v>
                </c:pt>
                <c:pt idx="4">
                  <c:v>9</c:v>
                </c:pt>
                <c:pt idx="5">
                  <c:v>8.875</c:v>
                </c:pt>
                <c:pt idx="6">
                  <c:v>8.8571428571428505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B8C-4DA7-ADE4-F5C8B0629223}"/>
            </c:ext>
          </c:extLst>
        </c:ser>
        <c:ser>
          <c:idx val="18"/>
          <c:order val="18"/>
          <c:tx>
            <c:strRef>
              <c:f>season_week_averages!$A$20</c:f>
              <c:strCache>
                <c:ptCount val="1"/>
                <c:pt idx="0">
                  <c:v>19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season_week_averages!$B$20:$H$20</c:f>
              <c:numCache>
                <c:formatCode>0.00</c:formatCode>
                <c:ptCount val="7"/>
                <c:pt idx="0">
                  <c:v>7.0769230769230704</c:v>
                </c:pt>
                <c:pt idx="1">
                  <c:v>7.6666666666666599</c:v>
                </c:pt>
                <c:pt idx="2">
                  <c:v>8.0909090909090899</c:v>
                </c:pt>
                <c:pt idx="3">
                  <c:v>7.9</c:v>
                </c:pt>
                <c:pt idx="4">
                  <c:v>7.4444444444444402</c:v>
                </c:pt>
                <c:pt idx="5">
                  <c:v>8.2222222222222197</c:v>
                </c:pt>
                <c:pt idx="6">
                  <c:v>7.875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B8C-4DA7-ADE4-F5C8B0629223}"/>
            </c:ext>
          </c:extLst>
        </c:ser>
        <c:ser>
          <c:idx val="19"/>
          <c:order val="19"/>
          <c:tx>
            <c:strRef>
              <c:f>season_week_averages!$A$21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season_week_averages!$B$21:$H$21</c:f>
              <c:numCache>
                <c:formatCode>0.00</c:formatCode>
                <c:ptCount val="7"/>
                <c:pt idx="0">
                  <c:v>6.3333333333333304</c:v>
                </c:pt>
                <c:pt idx="1">
                  <c:v>7.3333333333333304</c:v>
                </c:pt>
                <c:pt idx="2">
                  <c:v>7.2727272727272698</c:v>
                </c:pt>
                <c:pt idx="3">
                  <c:v>8.4</c:v>
                </c:pt>
                <c:pt idx="4">
                  <c:v>8.1111111111111107</c:v>
                </c:pt>
                <c:pt idx="5">
                  <c:v>8</c:v>
                </c:pt>
                <c:pt idx="6">
                  <c:v>8.8571428571428505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B8C-4DA7-ADE4-F5C8B0629223}"/>
            </c:ext>
          </c:extLst>
        </c:ser>
        <c:ser>
          <c:idx val="20"/>
          <c:order val="20"/>
          <c:tx>
            <c:strRef>
              <c:f>season_week_averages!$A$22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season_week_averages!$B$22:$H$22</c:f>
              <c:numCache>
                <c:formatCode>0.00</c:formatCode>
                <c:ptCount val="7"/>
                <c:pt idx="0">
                  <c:v>6.3846153846153797</c:v>
                </c:pt>
                <c:pt idx="1">
                  <c:v>7.0769230769230704</c:v>
                </c:pt>
                <c:pt idx="2">
                  <c:v>7.6</c:v>
                </c:pt>
                <c:pt idx="3">
                  <c:v>7.8</c:v>
                </c:pt>
                <c:pt idx="4">
                  <c:v>8.4444444444444393</c:v>
                </c:pt>
                <c:pt idx="5">
                  <c:v>8.8888888888888893</c:v>
                </c:pt>
                <c:pt idx="6">
                  <c:v>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B8C-4DA7-ADE4-F5C8B0629223}"/>
            </c:ext>
          </c:extLst>
        </c:ser>
        <c:ser>
          <c:idx val="21"/>
          <c:order val="21"/>
          <c:tx>
            <c:strRef>
              <c:f>season_week_averages!$A$23</c:f>
              <c:strCache>
                <c:ptCount val="1"/>
                <c:pt idx="0">
                  <c:v>22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season_week_averages!$B$23:$H$23</c:f>
              <c:numCache>
                <c:formatCode>0.00</c:formatCode>
                <c:ptCount val="7"/>
                <c:pt idx="0">
                  <c:v>6.6666666666666599</c:v>
                </c:pt>
                <c:pt idx="1">
                  <c:v>6.5833333333333304</c:v>
                </c:pt>
                <c:pt idx="2">
                  <c:v>7.2727272727272698</c:v>
                </c:pt>
                <c:pt idx="3">
                  <c:v>8.1</c:v>
                </c:pt>
                <c:pt idx="4">
                  <c:v>7.7777777777777697</c:v>
                </c:pt>
                <c:pt idx="5">
                  <c:v>8.3333333333333304</c:v>
                </c:pt>
                <c:pt idx="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B8C-4DA7-ADE4-F5C8B0629223}"/>
            </c:ext>
          </c:extLst>
        </c:ser>
        <c:ser>
          <c:idx val="22"/>
          <c:order val="22"/>
          <c:tx>
            <c:strRef>
              <c:f>season_week_averages!$A$24</c:f>
              <c:strCache>
                <c:ptCount val="1"/>
                <c:pt idx="0">
                  <c:v>23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season_week_averages!$B$24:$H$24</c:f>
              <c:numCache>
                <c:formatCode>0.00</c:formatCode>
                <c:ptCount val="7"/>
                <c:pt idx="0">
                  <c:v>6.1538461538461497</c:v>
                </c:pt>
                <c:pt idx="1">
                  <c:v>6.9230769230769198</c:v>
                </c:pt>
                <c:pt idx="2">
                  <c:v>6.8333333333333304</c:v>
                </c:pt>
                <c:pt idx="3">
                  <c:v>7.9090909090909003</c:v>
                </c:pt>
                <c:pt idx="4">
                  <c:v>8.55555555555555</c:v>
                </c:pt>
                <c:pt idx="5">
                  <c:v>8.6666666666666607</c:v>
                </c:pt>
                <c:pt idx="6">
                  <c:v>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B8C-4DA7-ADE4-F5C8B0629223}"/>
            </c:ext>
          </c:extLst>
        </c:ser>
        <c:ser>
          <c:idx val="23"/>
          <c:order val="23"/>
          <c:tx>
            <c:strRef>
              <c:f>season_week_averages!$A$25</c:f>
              <c:strCache>
                <c:ptCount val="1"/>
                <c:pt idx="0">
                  <c:v>24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season_week_averages!$B$25:$H$25</c:f>
              <c:numCache>
                <c:formatCode>0.00</c:formatCode>
                <c:ptCount val="7"/>
                <c:pt idx="0">
                  <c:v>6.25</c:v>
                </c:pt>
                <c:pt idx="1">
                  <c:v>6.9166666666666599</c:v>
                </c:pt>
                <c:pt idx="2">
                  <c:v>7.2727272727272698</c:v>
                </c:pt>
                <c:pt idx="3">
                  <c:v>8.3000000000000007</c:v>
                </c:pt>
                <c:pt idx="4">
                  <c:v>8.6666666666666607</c:v>
                </c:pt>
                <c:pt idx="5">
                  <c:v>8.5</c:v>
                </c:pt>
                <c:pt idx="6">
                  <c:v>8.71428571428571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B8C-4DA7-ADE4-F5C8B0629223}"/>
            </c:ext>
          </c:extLst>
        </c:ser>
        <c:ser>
          <c:idx val="24"/>
          <c:order val="24"/>
          <c:tx>
            <c:strRef>
              <c:f>season_week_averages!$A$26</c:f>
              <c:strCache>
                <c:ptCount val="1"/>
                <c:pt idx="0">
                  <c:v>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season_week_averages!$B$26:$H$26</c:f>
              <c:numCache>
                <c:formatCode>0.00</c:formatCode>
                <c:ptCount val="7"/>
                <c:pt idx="0">
                  <c:v>6.0769230769230704</c:v>
                </c:pt>
                <c:pt idx="1">
                  <c:v>7.1538461538461497</c:v>
                </c:pt>
                <c:pt idx="2">
                  <c:v>7.3636363636363598</c:v>
                </c:pt>
                <c:pt idx="3">
                  <c:v>8.2727272727272698</c:v>
                </c:pt>
                <c:pt idx="4">
                  <c:v>8.6</c:v>
                </c:pt>
                <c:pt idx="5">
                  <c:v>8.6666666666666607</c:v>
                </c:pt>
                <c:pt idx="6">
                  <c:v>8.875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B8C-4DA7-ADE4-F5C8B0629223}"/>
            </c:ext>
          </c:extLst>
        </c:ser>
        <c:ser>
          <c:idx val="25"/>
          <c:order val="25"/>
          <c:tx>
            <c:strRef>
              <c:f>season_week_averages!$A$27</c:f>
              <c:strCache>
                <c:ptCount val="1"/>
                <c:pt idx="0">
                  <c:v>27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season_week_averages!$B$27:$H$27</c:f>
              <c:numCache>
                <c:formatCode>0.00</c:formatCode>
                <c:ptCount val="7"/>
                <c:pt idx="0">
                  <c:v>6.6923076923076898</c:v>
                </c:pt>
                <c:pt idx="1">
                  <c:v>7.6666666666666599</c:v>
                </c:pt>
                <c:pt idx="2">
                  <c:v>8.2727272727272698</c:v>
                </c:pt>
                <c:pt idx="3">
                  <c:v>7.8</c:v>
                </c:pt>
                <c:pt idx="4">
                  <c:v>8.3333333333333304</c:v>
                </c:pt>
                <c:pt idx="5">
                  <c:v>8.4444444444444393</c:v>
                </c:pt>
                <c:pt idx="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B8C-4DA7-ADE4-F5C8B0629223}"/>
            </c:ext>
          </c:extLst>
        </c:ser>
        <c:ser>
          <c:idx val="26"/>
          <c:order val="26"/>
          <c:tx>
            <c:strRef>
              <c:f>season_week_averages!$A$28</c:f>
              <c:strCache>
                <c:ptCount val="1"/>
                <c:pt idx="0">
                  <c:v>28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season_week_averages!$B$28:$H$28</c:f>
              <c:numCache>
                <c:formatCode>0.00</c:formatCode>
                <c:ptCount val="7"/>
                <c:pt idx="0">
                  <c:v>5.5</c:v>
                </c:pt>
                <c:pt idx="1">
                  <c:v>6.0833333333333304</c:v>
                </c:pt>
                <c:pt idx="2">
                  <c:v>6.7</c:v>
                </c:pt>
                <c:pt idx="3">
                  <c:v>7.1</c:v>
                </c:pt>
                <c:pt idx="4">
                  <c:v>8</c:v>
                </c:pt>
                <c:pt idx="5">
                  <c:v>8.4444444444444393</c:v>
                </c:pt>
                <c:pt idx="6">
                  <c:v>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B8C-4DA7-ADE4-F5C8B0629223}"/>
            </c:ext>
          </c:extLst>
        </c:ser>
        <c:ser>
          <c:idx val="27"/>
          <c:order val="27"/>
          <c:tx>
            <c:strRef>
              <c:f>season_week_averages!$A$29</c:f>
              <c:strCache>
                <c:ptCount val="1"/>
                <c:pt idx="0">
                  <c:v>29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season_week_averages!$B$29:$H$29</c:f>
              <c:numCache>
                <c:formatCode>0.00</c:formatCode>
                <c:ptCount val="7"/>
                <c:pt idx="0">
                  <c:v>5.8</c:v>
                </c:pt>
                <c:pt idx="1">
                  <c:v>6</c:v>
                </c:pt>
                <c:pt idx="2">
                  <c:v>6.6428571428571397</c:v>
                </c:pt>
                <c:pt idx="3">
                  <c:v>7.6153846153846096</c:v>
                </c:pt>
                <c:pt idx="4">
                  <c:v>8</c:v>
                </c:pt>
                <c:pt idx="5">
                  <c:v>8.0909090909090899</c:v>
                </c:pt>
                <c:pt idx="6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B8C-4DA7-ADE4-F5C8B0629223}"/>
            </c:ext>
          </c:extLst>
        </c:ser>
        <c:ser>
          <c:idx val="28"/>
          <c:order val="28"/>
          <c:tx>
            <c:strRef>
              <c:f>season_week_averages!$A$30</c:f>
              <c:strCache>
                <c:ptCount val="1"/>
                <c:pt idx="0">
                  <c:v>30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season_week_averages!$B$30:$H$30</c:f>
              <c:numCache>
                <c:formatCode>0.00</c:formatCode>
                <c:ptCount val="7"/>
                <c:pt idx="0">
                  <c:v>6.0666666666666602</c:v>
                </c:pt>
                <c:pt idx="1">
                  <c:v>6.6</c:v>
                </c:pt>
                <c:pt idx="2">
                  <c:v>7.0714285714285703</c:v>
                </c:pt>
                <c:pt idx="3">
                  <c:v>8.0769230769230695</c:v>
                </c:pt>
                <c:pt idx="4">
                  <c:v>8.8181818181818095</c:v>
                </c:pt>
                <c:pt idx="5">
                  <c:v>9.3000000000000007</c:v>
                </c:pt>
                <c:pt idx="6">
                  <c:v>8.8888888888888893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B8C-4DA7-ADE4-F5C8B0629223}"/>
            </c:ext>
          </c:extLst>
        </c:ser>
        <c:ser>
          <c:idx val="29"/>
          <c:order val="29"/>
          <c:tx>
            <c:strRef>
              <c:f>season_week_averages!$A$31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season_week_averages!$B$31:$H$31</c:f>
              <c:numCache>
                <c:formatCode>0.00</c:formatCode>
                <c:ptCount val="7"/>
                <c:pt idx="0">
                  <c:v>5.875</c:v>
                </c:pt>
                <c:pt idx="1">
                  <c:v>6.93333333333333</c:v>
                </c:pt>
                <c:pt idx="2">
                  <c:v>7.21428571428571</c:v>
                </c:pt>
                <c:pt idx="3">
                  <c:v>7.9230769230769198</c:v>
                </c:pt>
                <c:pt idx="4">
                  <c:v>8.8333333333333304</c:v>
                </c:pt>
                <c:pt idx="5">
                  <c:v>8.8000000000000007</c:v>
                </c:pt>
                <c:pt idx="6">
                  <c:v>9.3333333333333304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B8C-4DA7-ADE4-F5C8B0629223}"/>
            </c:ext>
          </c:extLst>
        </c:ser>
        <c:ser>
          <c:idx val="30"/>
          <c:order val="30"/>
          <c:tx>
            <c:strRef>
              <c:f>season_week_averages!$A$32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season_week_averages!$B$32:$H$32</c:f>
              <c:numCache>
                <c:formatCode>0.00</c:formatCode>
                <c:ptCount val="7"/>
                <c:pt idx="0">
                  <c:v>5.4285714285714199</c:v>
                </c:pt>
                <c:pt idx="1">
                  <c:v>6.0769230769230704</c:v>
                </c:pt>
                <c:pt idx="2">
                  <c:v>6.9166666666666599</c:v>
                </c:pt>
                <c:pt idx="3">
                  <c:v>7.1818181818181799</c:v>
                </c:pt>
                <c:pt idx="4">
                  <c:v>7.9</c:v>
                </c:pt>
                <c:pt idx="5">
                  <c:v>8.2222222222222197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B8C-4DA7-ADE4-F5C8B0629223}"/>
            </c:ext>
          </c:extLst>
        </c:ser>
        <c:ser>
          <c:idx val="31"/>
          <c:order val="31"/>
          <c:tx>
            <c:strRef>
              <c:f>season_week_averages!$A$33</c:f>
              <c:strCache>
                <c:ptCount val="1"/>
                <c:pt idx="0">
                  <c:v>34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season_week_averages!$B$1:$H$1</c:f>
              <c:strCache>
                <c:ptCount val="7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</c:strCache>
            </c:strRef>
          </c:cat>
          <c:val>
            <c:numRef>
              <c:f>season_week_averages!$B$33:$H$33</c:f>
              <c:numCache>
                <c:formatCode>0.00</c:formatCode>
                <c:ptCount val="7"/>
                <c:pt idx="0">
                  <c:v>5.8571428571428568</c:v>
                </c:pt>
                <c:pt idx="1">
                  <c:v>6.6190476190476195</c:v>
                </c:pt>
                <c:pt idx="2">
                  <c:v>7.1388888888888884</c:v>
                </c:pt>
                <c:pt idx="3">
                  <c:v>7.5151515151515165</c:v>
                </c:pt>
                <c:pt idx="4">
                  <c:v>7.75</c:v>
                </c:pt>
                <c:pt idx="5">
                  <c:v>8.5</c:v>
                </c:pt>
                <c:pt idx="6">
                  <c:v>8.5555555555555554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B8C-4DA7-ADE4-F5C8B0629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5150639"/>
        <c:axId val="1655157359"/>
      </c:lineChart>
      <c:catAx>
        <c:axId val="165515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57359"/>
        <c:crosses val="autoZero"/>
        <c:auto val="1"/>
        <c:lblAlgn val="ctr"/>
        <c:lblOffset val="100"/>
        <c:noMultiLvlLbl val="0"/>
      </c:catAx>
      <c:valAx>
        <c:axId val="165515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5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season34!$A$2</c:f>
              <c:strCache>
                <c:ptCount val="1"/>
                <c:pt idx="0">
                  <c:v>Alix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strRef>
              <c:f>season34!$B$1:$H$1</c:f>
              <c:strCache>
                <c:ptCount val="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</c:strCache>
            </c:strRef>
          </c:xVal>
          <c:yVal>
            <c:numRef>
              <c:f>season34!$B$2:$H$2</c:f>
              <c:numCache>
                <c:formatCode>General</c:formatCode>
                <c:ptCount val="7"/>
                <c:pt idx="0">
                  <c:v>6.5</c:v>
                </c:pt>
                <c:pt idx="1">
                  <c:v>7</c:v>
                </c:pt>
                <c:pt idx="2">
                  <c:v>7.666666666666667</c:v>
                </c:pt>
                <c:pt idx="3">
                  <c:v>8</c:v>
                </c:pt>
                <c:pt idx="4">
                  <c:v>8.75</c:v>
                </c:pt>
                <c:pt idx="5">
                  <c:v>8.75</c:v>
                </c:pt>
                <c:pt idx="6">
                  <c:v>9.75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5F-4275-8906-228EB6043CEA}"/>
            </c:ext>
          </c:extLst>
        </c:ser>
        <c:ser>
          <c:idx val="1"/>
          <c:order val="1"/>
          <c:tx>
            <c:strRef>
              <c:f>season34!$A$3</c:f>
              <c:strCache>
                <c:ptCount val="1"/>
                <c:pt idx="0">
                  <c:v>Andy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strRef>
              <c:f>season34!$B$1:$H$1</c:f>
              <c:strCache>
                <c:ptCount val="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</c:strCache>
            </c:strRef>
          </c:xVal>
          <c:yVal>
            <c:numRef>
              <c:f>season34!$B$3:$H$3</c:f>
              <c:numCache>
                <c:formatCode>General</c:formatCode>
                <c:ptCount val="7"/>
                <c:pt idx="0">
                  <c:v>4.5</c:v>
                </c:pt>
                <c:pt idx="1">
                  <c:v>5.333333333333333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6.75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5F-4275-8906-228EB6043CEA}"/>
            </c:ext>
          </c:extLst>
        </c:ser>
        <c:ser>
          <c:idx val="2"/>
          <c:order val="2"/>
          <c:tx>
            <c:strRef>
              <c:f>season34!$A$4</c:f>
              <c:strCache>
                <c:ptCount val="1"/>
                <c:pt idx="0">
                  <c:v>Danielle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strRef>
              <c:f>season34!$B$1:$H$1</c:f>
              <c:strCache>
                <c:ptCount val="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</c:strCache>
            </c:strRef>
          </c:xVal>
          <c:yVal>
            <c:numRef>
              <c:f>season34!$B$4:$H$4</c:f>
              <c:numCache>
                <c:formatCode>General</c:formatCode>
                <c:ptCount val="7"/>
                <c:pt idx="0">
                  <c:v>6</c:v>
                </c:pt>
                <c:pt idx="1">
                  <c:v>6.333333333333333</c:v>
                </c:pt>
                <c:pt idx="2">
                  <c:v>7</c:v>
                </c:pt>
                <c:pt idx="3">
                  <c:v>7</c:v>
                </c:pt>
                <c:pt idx="4">
                  <c:v>7.25</c:v>
                </c:pt>
                <c:pt idx="5">
                  <c:v>9</c:v>
                </c:pt>
                <c:pt idx="6">
                  <c:v>8.25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5F-4275-8906-228EB6043CEA}"/>
            </c:ext>
          </c:extLst>
        </c:ser>
        <c:ser>
          <c:idx val="3"/>
          <c:order val="3"/>
          <c:tx>
            <c:strRef>
              <c:f>season34!$A$5</c:f>
              <c:strCache>
                <c:ptCount val="1"/>
                <c:pt idx="0">
                  <c:v>Dylan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strRef>
              <c:f>season34!$B$1:$H$1</c:f>
              <c:strCache>
                <c:ptCount val="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</c:strCache>
            </c:strRef>
          </c:xVal>
          <c:yVal>
            <c:numRef>
              <c:f>season34!$B$5:$H$5</c:f>
              <c:numCache>
                <c:formatCode>General</c:formatCode>
                <c:ptCount val="7"/>
                <c:pt idx="0">
                  <c:v>5</c:v>
                </c:pt>
                <c:pt idx="1">
                  <c:v>6.666666666666667</c:v>
                </c:pt>
                <c:pt idx="2">
                  <c:v>7.666666666666667</c:v>
                </c:pt>
                <c:pt idx="3">
                  <c:v>7.666666666666667</c:v>
                </c:pt>
                <c:pt idx="4">
                  <c:v>9</c:v>
                </c:pt>
                <c:pt idx="5">
                  <c:v>8</c:v>
                </c:pt>
                <c:pt idx="6">
                  <c:v>8.75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5F-4275-8906-228EB6043CEA}"/>
            </c:ext>
          </c:extLst>
        </c:ser>
        <c:ser>
          <c:idx val="4"/>
          <c:order val="4"/>
          <c:tx>
            <c:strRef>
              <c:f>season34!$A$6</c:f>
              <c:strCache>
                <c:ptCount val="1"/>
                <c:pt idx="0">
                  <c:v>Elaine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strRef>
              <c:f>season34!$B$1:$H$1</c:f>
              <c:strCache>
                <c:ptCount val="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</c:strCache>
            </c:strRef>
          </c:xVal>
          <c:yVal>
            <c:numRef>
              <c:f>season34!$B$6:$H$6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7.5</c:v>
                </c:pt>
                <c:pt idx="5">
                  <c:v>9</c:v>
                </c:pt>
                <c:pt idx="6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5F-4275-8906-228EB6043CEA}"/>
            </c:ext>
          </c:extLst>
        </c:ser>
        <c:ser>
          <c:idx val="5"/>
          <c:order val="5"/>
          <c:tx>
            <c:strRef>
              <c:f>season34!$A$7</c:f>
              <c:strCache>
                <c:ptCount val="1"/>
                <c:pt idx="0">
                  <c:v>Jordan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strRef>
              <c:f>season34!$B$1:$H$1</c:f>
              <c:strCache>
                <c:ptCount val="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</c:strCache>
            </c:strRef>
          </c:xVal>
          <c:yVal>
            <c:numRef>
              <c:f>season34!$B$7:$H$7</c:f>
              <c:numCache>
                <c:formatCode>General</c:formatCode>
                <c:ptCount val="7"/>
                <c:pt idx="0">
                  <c:v>5</c:v>
                </c:pt>
                <c:pt idx="1">
                  <c:v>7.333333333333333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9.75</c:v>
                </c:pt>
                <c:pt idx="6">
                  <c:v>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5F-4275-8906-228EB6043CEA}"/>
            </c:ext>
          </c:extLst>
        </c:ser>
        <c:ser>
          <c:idx val="6"/>
          <c:order val="6"/>
          <c:tx>
            <c:strRef>
              <c:f>season34!$A$8</c:f>
              <c:strCache>
                <c:ptCount val="1"/>
                <c:pt idx="0">
                  <c:v>Robert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strRef>
              <c:f>season34!$B$1:$H$1</c:f>
              <c:strCache>
                <c:ptCount val="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</c:strCache>
            </c:strRef>
          </c:xVal>
          <c:yVal>
            <c:numRef>
              <c:f>season34!$B$8:$H$8</c:f>
              <c:numCache>
                <c:formatCode>General</c:formatCode>
                <c:ptCount val="7"/>
                <c:pt idx="0">
                  <c:v>7.5</c:v>
                </c:pt>
                <c:pt idx="1">
                  <c:v>7.333333333333333</c:v>
                </c:pt>
                <c:pt idx="2">
                  <c:v>7.333333333333333</c:v>
                </c:pt>
                <c:pt idx="3">
                  <c:v>7.333333333333333</c:v>
                </c:pt>
                <c:pt idx="4">
                  <c:v>8</c:v>
                </c:pt>
                <c:pt idx="5">
                  <c:v>9</c:v>
                </c:pt>
                <c:pt idx="6">
                  <c:v>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15F-4275-8906-228EB6043CEA}"/>
            </c:ext>
          </c:extLst>
        </c:ser>
        <c:ser>
          <c:idx val="7"/>
          <c:order val="7"/>
          <c:tx>
            <c:strRef>
              <c:f>season34!$A$9</c:f>
              <c:strCache>
                <c:ptCount val="1"/>
                <c:pt idx="0">
                  <c:v>Whitney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strRef>
              <c:f>season34!$B$1:$H$1</c:f>
              <c:strCache>
                <c:ptCount val="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</c:strCache>
            </c:strRef>
          </c:xVal>
          <c:yVal>
            <c:numRef>
              <c:f>season34!$B$9:$H$9</c:f>
              <c:numCache>
                <c:formatCode>General</c:formatCode>
                <c:ptCount val="7"/>
                <c:pt idx="0">
                  <c:v>7.5</c:v>
                </c:pt>
                <c:pt idx="1">
                  <c:v>7.333333333333333</c:v>
                </c:pt>
                <c:pt idx="2">
                  <c:v>8</c:v>
                </c:pt>
                <c:pt idx="3">
                  <c:v>8.3333333333333339</c:v>
                </c:pt>
                <c:pt idx="4">
                  <c:v>8.25</c:v>
                </c:pt>
                <c:pt idx="5">
                  <c:v>9.75</c:v>
                </c:pt>
                <c:pt idx="6">
                  <c:v>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15F-4275-8906-228EB6043CEA}"/>
            </c:ext>
          </c:extLst>
        </c:ser>
        <c:ser>
          <c:idx val="8"/>
          <c:order val="8"/>
          <c:tx>
            <c:strRef>
              <c:f>season34!$A$10</c:f>
              <c:strCache>
                <c:ptCount val="1"/>
                <c:pt idx="0">
                  <c:v>Jen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xVal>
            <c:strRef>
              <c:f>season34!$B$1:$H$1</c:f>
              <c:strCache>
                <c:ptCount val="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</c:strCache>
            </c:strRef>
          </c:xVal>
          <c:yVal>
            <c:numRef>
              <c:f>season34!$B$10:$H$10</c:f>
              <c:numCache>
                <c:formatCode>General</c:formatCode>
                <c:ptCount val="7"/>
                <c:pt idx="0">
                  <c:v>6</c:v>
                </c:pt>
                <c:pt idx="1">
                  <c:v>7.333333333333333</c:v>
                </c:pt>
                <c:pt idx="2">
                  <c:v>6.333333333333333</c:v>
                </c:pt>
                <c:pt idx="3">
                  <c:v>7.666666666666667</c:v>
                </c:pt>
                <c:pt idx="4">
                  <c:v>7.25</c:v>
                </c:pt>
                <c:pt idx="5">
                  <c:v>8</c:v>
                </c:pt>
                <c:pt idx="6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15F-4275-8906-228EB6043CEA}"/>
            </c:ext>
          </c:extLst>
        </c:ser>
        <c:ser>
          <c:idx val="9"/>
          <c:order val="9"/>
          <c:tx>
            <c:strRef>
              <c:f>season34!$A$11</c:f>
              <c:strCache>
                <c:ptCount val="1"/>
                <c:pt idx="0">
                  <c:v>Scott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xVal>
            <c:strRef>
              <c:f>season34!$B$1:$H$1</c:f>
              <c:strCache>
                <c:ptCount val="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</c:strCache>
            </c:strRef>
          </c:xVal>
          <c:yVal>
            <c:numRef>
              <c:f>season34!$B$11:$H$11</c:f>
              <c:numCache>
                <c:formatCode>General</c:formatCode>
                <c:ptCount val="7"/>
                <c:pt idx="0">
                  <c:v>5</c:v>
                </c:pt>
                <c:pt idx="1">
                  <c:v>6</c:v>
                </c:pt>
                <c:pt idx="2">
                  <c:v>7.333333333333333</c:v>
                </c:pt>
                <c:pt idx="3">
                  <c:v>7</c:v>
                </c:pt>
                <c:pt idx="4">
                  <c:v>7.5</c:v>
                </c:pt>
                <c:pt idx="5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15F-4275-8906-228EB6043CEA}"/>
            </c:ext>
          </c:extLst>
        </c:ser>
        <c:ser>
          <c:idx val="10"/>
          <c:order val="10"/>
          <c:tx>
            <c:strRef>
              <c:f>season34!$A$12</c:f>
              <c:strCache>
                <c:ptCount val="1"/>
                <c:pt idx="0">
                  <c:v>Hilaria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xVal>
            <c:strRef>
              <c:f>season34!$B$1:$H$1</c:f>
              <c:strCache>
                <c:ptCount val="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</c:strCache>
            </c:strRef>
          </c:xVal>
          <c:yVal>
            <c:numRef>
              <c:f>season34!$B$12:$H$12</c:f>
              <c:numCache>
                <c:formatCode>General</c:formatCode>
                <c:ptCount val="7"/>
                <c:pt idx="0">
                  <c:v>7</c:v>
                </c:pt>
                <c:pt idx="1">
                  <c:v>7</c:v>
                </c:pt>
                <c:pt idx="2">
                  <c:v>7.333333333333333</c:v>
                </c:pt>
                <c:pt idx="3">
                  <c:v>7.666666666666667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15F-4275-8906-228EB6043CEA}"/>
            </c:ext>
          </c:extLst>
        </c:ser>
        <c:ser>
          <c:idx val="11"/>
          <c:order val="11"/>
          <c:tx>
            <c:strRef>
              <c:f>season34!$A$13</c:f>
              <c:strCache>
                <c:ptCount val="1"/>
                <c:pt idx="0">
                  <c:v>Lauren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xVal>
            <c:strRef>
              <c:f>season34!$B$1:$H$1</c:f>
              <c:strCache>
                <c:ptCount val="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</c:strCache>
            </c:strRef>
          </c:xVal>
          <c:yVal>
            <c:numRef>
              <c:f>season34!$B$13:$H$13</c:f>
              <c:numCache>
                <c:formatCode>General</c:formatCode>
                <c:ptCount val="7"/>
                <c:pt idx="0">
                  <c:v>6.5</c:v>
                </c:pt>
                <c:pt idx="1">
                  <c:v>7</c:v>
                </c:pt>
                <c:pt idx="2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15F-4275-8906-228EB6043CEA}"/>
            </c:ext>
          </c:extLst>
        </c:ser>
        <c:ser>
          <c:idx val="12"/>
          <c:order val="12"/>
          <c:tx>
            <c:strRef>
              <c:f>season34!$A$14</c:f>
              <c:strCache>
                <c:ptCount val="1"/>
                <c:pt idx="0">
                  <c:v>Corey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xVal>
            <c:strRef>
              <c:f>season34!$B$1:$H$1</c:f>
              <c:strCache>
                <c:ptCount val="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</c:strCache>
            </c:strRef>
          </c:xVal>
          <c:yVal>
            <c:numRef>
              <c:f>season34!$B$14:$H$14</c:f>
              <c:numCache>
                <c:formatCode>General</c:formatCode>
                <c:ptCount val="7"/>
                <c:pt idx="0">
                  <c:v>4.5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15F-4275-8906-228EB6043CEA}"/>
            </c:ext>
          </c:extLst>
        </c:ser>
        <c:ser>
          <c:idx val="13"/>
          <c:order val="13"/>
          <c:tx>
            <c:strRef>
              <c:f>season34!$A$15</c:f>
              <c:strCache>
                <c:ptCount val="1"/>
                <c:pt idx="0">
                  <c:v>Baron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xVal>
            <c:strRef>
              <c:f>season34!$B$1:$H$1</c:f>
              <c:strCache>
                <c:ptCount val="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</c:strCache>
            </c:strRef>
          </c:xVal>
          <c:yVal>
            <c:numRef>
              <c:f>season34!$B$15:$H$15</c:f>
              <c:numCache>
                <c:formatCode>General</c:formatCode>
                <c:ptCount val="7"/>
                <c:pt idx="0">
                  <c:v>5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15F-4275-8906-228EB6043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872975"/>
        <c:axId val="401875375"/>
      </c:scatterChart>
      <c:valAx>
        <c:axId val="40187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75375"/>
        <c:crosses val="autoZero"/>
        <c:crossBetween val="midCat"/>
      </c:valAx>
      <c:valAx>
        <c:axId val="40187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72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424618</xdr:colOff>
      <xdr:row>12</xdr:row>
      <xdr:rowOff>25994</xdr:rowOff>
    </xdr:from>
    <xdr:to>
      <xdr:col>34</xdr:col>
      <xdr:colOff>373879</xdr:colOff>
      <xdr:row>32</xdr:row>
      <xdr:rowOff>115725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A6B3C6-4866-E6C3-998C-3F133BC31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304800</xdr:colOff>
      <xdr:row>15</xdr:row>
      <xdr:rowOff>180975</xdr:rowOff>
    </xdr:from>
    <xdr:to>
      <xdr:col>37</xdr:col>
      <xdr:colOff>38100</xdr:colOff>
      <xdr:row>49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063132-E728-28BA-C06B-FD532E0CB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306B-A3E2-48E5-9B22-3AFCF178ADAB}">
  <dimension ref="A1:N33"/>
  <sheetViews>
    <sheetView zoomScale="107" zoomScaleNormal="90" workbookViewId="0">
      <selection activeCell="AE9" sqref="AE9"/>
    </sheetView>
  </sheetViews>
  <sheetFormatPr defaultRowHeight="14.25" x14ac:dyDescent="0.45"/>
  <sheetData>
    <row r="1" spans="1:14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45">
      <c r="A2">
        <v>1</v>
      </c>
      <c r="B2" s="1">
        <v>6.1666666666666599</v>
      </c>
      <c r="C2" s="1">
        <v>6.8333333333333304</v>
      </c>
      <c r="D2" s="1">
        <v>7</v>
      </c>
      <c r="E2" s="1">
        <v>7.75</v>
      </c>
      <c r="F2" s="1">
        <v>8.3333333333333304</v>
      </c>
      <c r="G2" s="1">
        <v>9</v>
      </c>
      <c r="H2" s="1"/>
      <c r="I2" s="1"/>
      <c r="J2" s="1"/>
      <c r="K2" s="1"/>
      <c r="L2" s="1"/>
      <c r="M2" s="1">
        <f>AVERAGE(B2:L2)</f>
        <v>7.5138888888888866</v>
      </c>
      <c r="N2">
        <f>_xlfn.STDEV.S(B2:L2)</f>
        <v>1.0467100132567086</v>
      </c>
    </row>
    <row r="3" spans="1:14" x14ac:dyDescent="0.45">
      <c r="A3">
        <v>2</v>
      </c>
      <c r="B3" s="1">
        <v>6.5</v>
      </c>
      <c r="C3" s="1">
        <v>7.4444444444444402</v>
      </c>
      <c r="D3" s="1">
        <v>7.5</v>
      </c>
      <c r="E3" s="1">
        <v>7.5714285714285703</v>
      </c>
      <c r="F3" s="1">
        <v>8.3333333333333304</v>
      </c>
      <c r="G3" s="1">
        <v>9</v>
      </c>
      <c r="H3" s="1">
        <v>8.5</v>
      </c>
      <c r="I3" s="1">
        <v>9.6666666666666607</v>
      </c>
      <c r="J3" s="1"/>
      <c r="K3" s="1"/>
      <c r="L3" s="1"/>
      <c r="M3" s="1">
        <f t="shared" ref="M3:M32" si="0">AVERAGE(B3:L3)</f>
        <v>8.0644841269841248</v>
      </c>
      <c r="N3">
        <f t="shared" ref="N3:N32" si="1">_xlfn.STDEV.S(B3:L3)</f>
        <v>1.006971322653234</v>
      </c>
    </row>
    <row r="4" spans="1:14" x14ac:dyDescent="0.45">
      <c r="A4">
        <v>3</v>
      </c>
      <c r="B4" s="1">
        <v>6.3636363636363598</v>
      </c>
      <c r="C4" s="1">
        <v>7.7</v>
      </c>
      <c r="D4" s="1">
        <v>7.4444444444444402</v>
      </c>
      <c r="E4" s="1">
        <v>8.25</v>
      </c>
      <c r="F4" s="1">
        <v>8.5714285714285694</v>
      </c>
      <c r="G4" s="1">
        <v>7.8</v>
      </c>
      <c r="H4" s="1">
        <v>9.1999999999999993</v>
      </c>
      <c r="I4" s="1">
        <v>9.25</v>
      </c>
      <c r="J4" s="1">
        <v>10</v>
      </c>
      <c r="K4" s="1">
        <v>10</v>
      </c>
      <c r="L4" s="1"/>
      <c r="M4" s="1">
        <f t="shared" si="0"/>
        <v>8.4579509379509368</v>
      </c>
      <c r="N4">
        <f t="shared" si="1"/>
        <v>1.1742925966188875</v>
      </c>
    </row>
    <row r="5" spans="1:14" x14ac:dyDescent="0.45">
      <c r="A5">
        <v>4</v>
      </c>
      <c r="B5" s="1">
        <v>6.1818181818181799</v>
      </c>
      <c r="C5" s="1">
        <v>7.4545454545454497</v>
      </c>
      <c r="D5" s="1">
        <v>7.3</v>
      </c>
      <c r="E5" s="1">
        <v>7</v>
      </c>
      <c r="F5" s="1">
        <v>7.25</v>
      </c>
      <c r="G5" s="1">
        <v>8</v>
      </c>
      <c r="H5" s="1">
        <v>8.6666666666666607</v>
      </c>
      <c r="I5" s="1">
        <v>8.4</v>
      </c>
      <c r="J5" s="1">
        <v>10</v>
      </c>
      <c r="K5" s="1">
        <v>9.6666666666666607</v>
      </c>
      <c r="L5" s="1"/>
      <c r="M5" s="1">
        <f t="shared" si="0"/>
        <v>7.9919696969696954</v>
      </c>
      <c r="N5">
        <f t="shared" si="1"/>
        <v>1.2035772213456291</v>
      </c>
    </row>
    <row r="6" spans="1:14" x14ac:dyDescent="0.45">
      <c r="A6">
        <v>5</v>
      </c>
      <c r="B6" s="1">
        <v>7.0833333333333304</v>
      </c>
      <c r="C6" s="1">
        <v>7.2727272727272698</v>
      </c>
      <c r="D6" s="1">
        <v>8.1</v>
      </c>
      <c r="E6" s="1">
        <v>8.7777777777777697</v>
      </c>
      <c r="F6" s="1">
        <v>8.375</v>
      </c>
      <c r="G6" s="1">
        <v>8.4285714285714199</v>
      </c>
      <c r="H6" s="1">
        <v>8.8333333333333304</v>
      </c>
      <c r="I6" s="1">
        <v>8.8000000000000007</v>
      </c>
      <c r="J6" s="1">
        <v>9.75</v>
      </c>
      <c r="K6" s="1">
        <v>8.6666666666666607</v>
      </c>
      <c r="L6" s="1"/>
      <c r="M6" s="1">
        <f t="shared" si="0"/>
        <v>8.4087409812409781</v>
      </c>
      <c r="N6">
        <f t="shared" si="1"/>
        <v>0.78025189166602349</v>
      </c>
    </row>
    <row r="7" spans="1:14" x14ac:dyDescent="0.45">
      <c r="A7">
        <v>6</v>
      </c>
      <c r="B7" s="1">
        <v>6.6666666666666599</v>
      </c>
      <c r="C7" s="1">
        <v>7.1666666666666599</v>
      </c>
      <c r="D7" s="1">
        <v>7.6</v>
      </c>
      <c r="E7" s="1">
        <v>8.3333333333333304</v>
      </c>
      <c r="F7" s="1">
        <v>8.25</v>
      </c>
      <c r="G7" s="1">
        <v>8.5714285714285694</v>
      </c>
      <c r="H7" s="1">
        <v>8.8333333333333304</v>
      </c>
      <c r="I7" s="1">
        <v>9</v>
      </c>
      <c r="J7" s="1">
        <v>9.25</v>
      </c>
      <c r="K7" s="1">
        <v>9.6666666666666607</v>
      </c>
      <c r="L7" s="1"/>
      <c r="M7" s="1">
        <f t="shared" si="0"/>
        <v>8.3338095238095207</v>
      </c>
      <c r="N7">
        <f t="shared" si="1"/>
        <v>0.94591508815192216</v>
      </c>
    </row>
    <row r="8" spans="1:14" x14ac:dyDescent="0.45">
      <c r="A8">
        <v>7</v>
      </c>
      <c r="B8" s="1">
        <v>6.4615384615384599</v>
      </c>
      <c r="C8" s="1">
        <v>6.7272727272727204</v>
      </c>
      <c r="D8" s="1">
        <v>7.2222222222222197</v>
      </c>
      <c r="E8" s="1">
        <v>7.55555555555555</v>
      </c>
      <c r="F8" s="1">
        <v>8</v>
      </c>
      <c r="G8" s="1">
        <v>7.71428571428571</v>
      </c>
      <c r="H8" s="1">
        <v>8</v>
      </c>
      <c r="I8" s="1">
        <v>8.4</v>
      </c>
      <c r="J8" s="1">
        <v>8.5</v>
      </c>
      <c r="K8" s="1">
        <v>9.3333333333333304</v>
      </c>
      <c r="L8" s="1"/>
      <c r="M8" s="1">
        <f t="shared" si="0"/>
        <v>7.7914208014207986</v>
      </c>
      <c r="N8">
        <f t="shared" si="1"/>
        <v>0.85787368675964915</v>
      </c>
    </row>
    <row r="9" spans="1:14" x14ac:dyDescent="0.45">
      <c r="A9">
        <v>8</v>
      </c>
      <c r="B9" s="1">
        <v>6.3076923076923004</v>
      </c>
      <c r="C9" s="1">
        <v>7</v>
      </c>
      <c r="D9" s="1">
        <v>7.0833333333333304</v>
      </c>
      <c r="E9" s="1">
        <v>7.1818181818181799</v>
      </c>
      <c r="F9" s="1">
        <v>7.8888888888888804</v>
      </c>
      <c r="G9" s="1">
        <v>7.75</v>
      </c>
      <c r="H9" s="1">
        <v>8.71428571428571</v>
      </c>
      <c r="I9" s="1">
        <v>8.5</v>
      </c>
      <c r="J9" s="1">
        <v>9</v>
      </c>
      <c r="K9" s="1">
        <v>9</v>
      </c>
      <c r="L9" s="1">
        <v>10</v>
      </c>
      <c r="M9" s="1">
        <f t="shared" si="0"/>
        <v>8.0387289478198554</v>
      </c>
      <c r="N9">
        <f t="shared" si="1"/>
        <v>1.1041809229505055</v>
      </c>
    </row>
    <row r="10" spans="1:14" x14ac:dyDescent="0.45">
      <c r="A10">
        <v>9</v>
      </c>
      <c r="B10" s="1">
        <v>6</v>
      </c>
      <c r="C10" s="1">
        <v>6.9285714285714199</v>
      </c>
      <c r="D10" s="1">
        <v>6.7692307692307603</v>
      </c>
      <c r="E10" s="1">
        <v>7.2727272727272698</v>
      </c>
      <c r="F10" s="1">
        <v>8.1</v>
      </c>
      <c r="G10" s="1">
        <v>7.7777777777777697</v>
      </c>
      <c r="H10" s="1">
        <v>8.1428571428571406</v>
      </c>
      <c r="I10" s="1">
        <v>8.8000000000000007</v>
      </c>
      <c r="J10" s="1">
        <v>9</v>
      </c>
      <c r="K10" s="1">
        <v>9</v>
      </c>
      <c r="L10" s="1"/>
      <c r="M10" s="1">
        <f t="shared" si="0"/>
        <v>7.7791164391164358</v>
      </c>
      <c r="N10">
        <f t="shared" si="1"/>
        <v>1.0232612953767624</v>
      </c>
    </row>
    <row r="11" spans="1:14" x14ac:dyDescent="0.45">
      <c r="A11">
        <v>10</v>
      </c>
      <c r="B11" s="1">
        <v>6.3636363636363598</v>
      </c>
      <c r="C11" s="1">
        <v>6.6363636363636296</v>
      </c>
      <c r="D11" s="1">
        <v>6.9</v>
      </c>
      <c r="E11" s="1">
        <v>6.8888888888888804</v>
      </c>
      <c r="F11" s="1">
        <v>7.25</v>
      </c>
      <c r="G11" s="1">
        <v>7.5714285714285703</v>
      </c>
      <c r="H11" s="1">
        <v>8.6666666666666607</v>
      </c>
      <c r="I11" s="1">
        <v>8.6</v>
      </c>
      <c r="J11" s="1">
        <v>9.5</v>
      </c>
      <c r="K11" s="1">
        <v>9.3333333333333304</v>
      </c>
      <c r="L11" s="1"/>
      <c r="M11" s="1">
        <f t="shared" si="0"/>
        <v>7.7710317460317428</v>
      </c>
      <c r="N11">
        <f t="shared" si="1"/>
        <v>1.1564259625739897</v>
      </c>
    </row>
    <row r="12" spans="1:14" x14ac:dyDescent="0.45">
      <c r="A12">
        <v>11</v>
      </c>
      <c r="B12" s="1">
        <v>6.25</v>
      </c>
      <c r="C12" s="1">
        <v>6.6363636363636296</v>
      </c>
      <c r="D12" s="1">
        <v>7.5</v>
      </c>
      <c r="E12" s="1">
        <v>6.7777777777777697</v>
      </c>
      <c r="F12" s="1">
        <v>7.625</v>
      </c>
      <c r="G12" s="1">
        <v>7.71428571428571</v>
      </c>
      <c r="H12" s="1">
        <v>8.8333333333333304</v>
      </c>
      <c r="I12" s="1">
        <v>9</v>
      </c>
      <c r="J12" s="1">
        <v>9.75</v>
      </c>
      <c r="K12" s="1">
        <v>9.3333333333333304</v>
      </c>
      <c r="L12" s="1"/>
      <c r="M12" s="1">
        <f t="shared" si="0"/>
        <v>7.9420093795093765</v>
      </c>
      <c r="N12">
        <f t="shared" si="1"/>
        <v>1.2197077084904806</v>
      </c>
    </row>
    <row r="13" spans="1:14" x14ac:dyDescent="0.45">
      <c r="A13">
        <v>12</v>
      </c>
      <c r="B13" s="1">
        <v>6.2727272727272698</v>
      </c>
      <c r="C13" s="1">
        <v>6.7272727272727204</v>
      </c>
      <c r="D13" s="1">
        <v>7.2</v>
      </c>
      <c r="E13" s="1">
        <v>7.6666666666666599</v>
      </c>
      <c r="F13" s="1">
        <v>8.125</v>
      </c>
      <c r="G13" s="1">
        <v>8.4285714285714199</v>
      </c>
      <c r="H13" s="1">
        <v>8.5</v>
      </c>
      <c r="I13" s="1">
        <v>8.8000000000000007</v>
      </c>
      <c r="J13" s="1">
        <v>9.25</v>
      </c>
      <c r="K13" s="1">
        <v>9.6666666666666607</v>
      </c>
      <c r="L13" s="1"/>
      <c r="M13" s="1">
        <f t="shared" si="0"/>
        <v>8.0636904761904713</v>
      </c>
      <c r="N13">
        <f t="shared" si="1"/>
        <v>1.09257231521799</v>
      </c>
    </row>
    <row r="14" spans="1:14" x14ac:dyDescent="0.45">
      <c r="A14">
        <v>13</v>
      </c>
      <c r="B14" s="1">
        <v>6</v>
      </c>
      <c r="C14" s="1">
        <v>6.7272727272727204</v>
      </c>
      <c r="D14" s="1">
        <v>8</v>
      </c>
      <c r="E14" s="1">
        <v>7.8888888888888804</v>
      </c>
      <c r="F14" s="1">
        <v>7.625</v>
      </c>
      <c r="G14" s="1">
        <v>8</v>
      </c>
      <c r="H14" s="1">
        <v>8</v>
      </c>
      <c r="I14" s="1">
        <v>8.8000000000000007</v>
      </c>
      <c r="J14" s="1">
        <v>8.75</v>
      </c>
      <c r="K14" s="1">
        <v>9</v>
      </c>
      <c r="L14" s="1"/>
      <c r="M14" s="1">
        <f t="shared" si="0"/>
        <v>7.8791161616161602</v>
      </c>
      <c r="N14">
        <f t="shared" si="1"/>
        <v>0.93268884688494313</v>
      </c>
    </row>
    <row r="15" spans="1:14" x14ac:dyDescent="0.45">
      <c r="A15">
        <v>14</v>
      </c>
      <c r="B15" s="1">
        <v>7.75</v>
      </c>
      <c r="C15" s="1">
        <v>7.5</v>
      </c>
      <c r="D15" s="1">
        <v>8.4545454545454497</v>
      </c>
      <c r="E15" s="1">
        <v>7.8</v>
      </c>
      <c r="F15" s="1">
        <v>8.3333333333333304</v>
      </c>
      <c r="G15" s="1">
        <v>8.75</v>
      </c>
      <c r="H15" s="1">
        <v>8.5714285714285694</v>
      </c>
      <c r="I15" s="1">
        <v>9.1666666666666607</v>
      </c>
      <c r="J15" s="1">
        <v>9.75</v>
      </c>
      <c r="K15" s="1">
        <v>10</v>
      </c>
      <c r="L15" s="1"/>
      <c r="M15" s="1">
        <f t="shared" si="0"/>
        <v>8.6075974025974009</v>
      </c>
      <c r="N15">
        <f t="shared" si="1"/>
        <v>0.83607006406852646</v>
      </c>
    </row>
    <row r="16" spans="1:14" x14ac:dyDescent="0.45">
      <c r="A16">
        <v>15</v>
      </c>
      <c r="B16" s="1">
        <v>7.0769230769230704</v>
      </c>
      <c r="C16" s="1">
        <v>7.8333333333333304</v>
      </c>
      <c r="D16" s="1">
        <v>8.6363636363636296</v>
      </c>
      <c r="E16" s="1">
        <v>9</v>
      </c>
      <c r="F16" s="1">
        <v>9.25</v>
      </c>
      <c r="G16" s="1">
        <v>9.375</v>
      </c>
      <c r="H16" s="1">
        <v>9.2857142857142794</v>
      </c>
      <c r="I16" s="1">
        <v>9.5714285714285694</v>
      </c>
      <c r="J16" s="1">
        <v>9.6</v>
      </c>
      <c r="K16" s="1">
        <v>10</v>
      </c>
      <c r="L16" s="1"/>
      <c r="M16" s="1">
        <f t="shared" si="0"/>
        <v>8.962876290376288</v>
      </c>
      <c r="N16">
        <f t="shared" si="1"/>
        <v>0.89125840717771954</v>
      </c>
    </row>
    <row r="17" spans="1:14" x14ac:dyDescent="0.45">
      <c r="A17">
        <v>16</v>
      </c>
      <c r="B17" s="1">
        <v>6.4166666666666599</v>
      </c>
      <c r="C17" s="1">
        <v>6.9166666666666599</v>
      </c>
      <c r="D17" s="1">
        <v>7</v>
      </c>
      <c r="E17" s="1">
        <v>7.6</v>
      </c>
      <c r="F17" s="1">
        <v>7.7777777777777697</v>
      </c>
      <c r="G17" s="1">
        <v>8</v>
      </c>
      <c r="H17" s="1">
        <v>8.4285714285714199</v>
      </c>
      <c r="I17" s="1">
        <v>8.6666666666666607</v>
      </c>
      <c r="J17" s="1">
        <v>9.6</v>
      </c>
      <c r="K17" s="1">
        <v>9.75</v>
      </c>
      <c r="L17" s="1"/>
      <c r="M17" s="1">
        <f t="shared" si="0"/>
        <v>8.0156349206349162</v>
      </c>
      <c r="N17">
        <f t="shared" si="1"/>
        <v>1.1124603202913519</v>
      </c>
    </row>
    <row r="18" spans="1:14" x14ac:dyDescent="0.45">
      <c r="A18">
        <v>17</v>
      </c>
      <c r="B18" s="1">
        <v>7.1666666666666599</v>
      </c>
      <c r="C18" s="1">
        <v>7.4166666666666599</v>
      </c>
      <c r="D18" s="1">
        <v>7.6363636363636296</v>
      </c>
      <c r="E18" s="1">
        <v>7.9</v>
      </c>
      <c r="F18" s="1">
        <v>8.6666666666666607</v>
      </c>
      <c r="G18" s="1">
        <v>8.75</v>
      </c>
      <c r="H18" s="1">
        <v>9.125</v>
      </c>
      <c r="I18" s="1">
        <v>8.5714285714285694</v>
      </c>
      <c r="J18" s="1">
        <v>8.8333333333333304</v>
      </c>
      <c r="K18" s="1">
        <v>8.8000000000000007</v>
      </c>
      <c r="L18" s="1">
        <v>9</v>
      </c>
      <c r="M18" s="1">
        <f t="shared" si="0"/>
        <v>8.3514659582841357</v>
      </c>
      <c r="N18">
        <f t="shared" si="1"/>
        <v>0.68932478630586325</v>
      </c>
    </row>
    <row r="19" spans="1:14" x14ac:dyDescent="0.45">
      <c r="A19">
        <v>18</v>
      </c>
      <c r="B19" s="1">
        <v>7.25</v>
      </c>
      <c r="C19" s="1">
        <v>7.2727272727272698</v>
      </c>
      <c r="D19" s="1">
        <v>8.7777777777777697</v>
      </c>
      <c r="E19" s="1">
        <v>8.3333333333333304</v>
      </c>
      <c r="F19" s="1">
        <v>9</v>
      </c>
      <c r="G19" s="1">
        <v>8.875</v>
      </c>
      <c r="H19" s="1">
        <v>8.8571428571428505</v>
      </c>
      <c r="I19" s="1">
        <v>9.5</v>
      </c>
      <c r="J19" s="1">
        <v>9.8000000000000007</v>
      </c>
      <c r="K19" s="1">
        <v>9.75</v>
      </c>
      <c r="L19" s="1"/>
      <c r="M19" s="1">
        <f t="shared" si="0"/>
        <v>8.7415981240981218</v>
      </c>
      <c r="N19">
        <f t="shared" si="1"/>
        <v>0.90434851341499622</v>
      </c>
    </row>
    <row r="20" spans="1:14" x14ac:dyDescent="0.45">
      <c r="A20">
        <v>19</v>
      </c>
      <c r="B20" s="1">
        <v>7.0769230769230704</v>
      </c>
      <c r="C20" s="1">
        <v>7.6666666666666599</v>
      </c>
      <c r="D20" s="1">
        <v>8.0909090909090899</v>
      </c>
      <c r="E20" s="1">
        <v>7.9</v>
      </c>
      <c r="F20" s="1">
        <v>7.4444444444444402</v>
      </c>
      <c r="G20" s="1">
        <v>8.2222222222222197</v>
      </c>
      <c r="H20" s="1">
        <v>7.875</v>
      </c>
      <c r="I20" s="1">
        <v>8.5714285714285694</v>
      </c>
      <c r="J20" s="1">
        <v>9</v>
      </c>
      <c r="K20" s="1">
        <v>9.1999999999999993</v>
      </c>
      <c r="L20" s="1">
        <v>10</v>
      </c>
      <c r="M20" s="1">
        <f t="shared" si="0"/>
        <v>8.2770540065994602</v>
      </c>
      <c r="N20">
        <f t="shared" si="1"/>
        <v>0.85306967682248458</v>
      </c>
    </row>
    <row r="21" spans="1:14" x14ac:dyDescent="0.45">
      <c r="A21">
        <v>20</v>
      </c>
      <c r="B21" s="1">
        <v>6.3333333333333304</v>
      </c>
      <c r="C21" s="1">
        <v>7.3333333333333304</v>
      </c>
      <c r="D21" s="1">
        <v>7.2727272727272698</v>
      </c>
      <c r="E21" s="1">
        <v>8.4</v>
      </c>
      <c r="F21" s="1">
        <v>8.1111111111111107</v>
      </c>
      <c r="G21" s="1">
        <v>8</v>
      </c>
      <c r="H21" s="1">
        <v>8.8571428571428505</v>
      </c>
      <c r="I21" s="1">
        <v>9</v>
      </c>
      <c r="J21" s="1">
        <v>10</v>
      </c>
      <c r="K21" s="1">
        <v>9.6666666666666607</v>
      </c>
      <c r="L21" s="1"/>
      <c r="M21" s="1">
        <f t="shared" si="0"/>
        <v>8.297431457431454</v>
      </c>
      <c r="N21">
        <f t="shared" si="1"/>
        <v>1.1329072953002284</v>
      </c>
    </row>
    <row r="22" spans="1:14" x14ac:dyDescent="0.45">
      <c r="A22">
        <v>21</v>
      </c>
      <c r="B22" s="1">
        <v>6.3846153846153797</v>
      </c>
      <c r="C22" s="1">
        <v>7.0769230769230704</v>
      </c>
      <c r="D22" s="1">
        <v>7.6</v>
      </c>
      <c r="E22" s="1">
        <v>7.8</v>
      </c>
      <c r="F22" s="1">
        <v>8.4444444444444393</v>
      </c>
      <c r="G22" s="1">
        <v>8.8888888888888893</v>
      </c>
      <c r="H22" s="1">
        <v>8.75</v>
      </c>
      <c r="I22" s="1">
        <v>8.5714285714285694</v>
      </c>
      <c r="J22" s="1">
        <v>8.8333333333333304</v>
      </c>
      <c r="K22" s="1">
        <v>9.75</v>
      </c>
      <c r="L22" s="1">
        <v>9.75</v>
      </c>
      <c r="M22" s="1">
        <f t="shared" si="0"/>
        <v>8.3499666999666982</v>
      </c>
      <c r="N22">
        <f t="shared" si="1"/>
        <v>1.0493056865029498</v>
      </c>
    </row>
    <row r="23" spans="1:14" x14ac:dyDescent="0.45">
      <c r="A23">
        <v>22</v>
      </c>
      <c r="B23" s="1">
        <v>6.6666666666666599</v>
      </c>
      <c r="C23" s="1">
        <v>6.5833333333333304</v>
      </c>
      <c r="D23" s="1">
        <v>7.2727272727272698</v>
      </c>
      <c r="E23" s="1">
        <v>8.1</v>
      </c>
      <c r="F23" s="1">
        <v>7.7777777777777697</v>
      </c>
      <c r="G23" s="1">
        <v>8.3333333333333304</v>
      </c>
      <c r="H23" s="1">
        <v>9</v>
      </c>
      <c r="I23" s="1">
        <v>9.3333333333333304</v>
      </c>
      <c r="J23" s="1">
        <v>9.6</v>
      </c>
      <c r="K23" s="1">
        <v>9.6666666666666607</v>
      </c>
      <c r="L23" s="1"/>
      <c r="M23" s="1">
        <f t="shared" si="0"/>
        <v>8.2333838383838334</v>
      </c>
      <c r="N23">
        <f t="shared" si="1"/>
        <v>1.157344521095383</v>
      </c>
    </row>
    <row r="24" spans="1:14" x14ac:dyDescent="0.45">
      <c r="A24">
        <v>23</v>
      </c>
      <c r="B24" s="1">
        <v>6.1538461538461497</v>
      </c>
      <c r="C24" s="1">
        <v>6.9230769230769198</v>
      </c>
      <c r="D24" s="1">
        <v>6.8333333333333304</v>
      </c>
      <c r="E24" s="1">
        <v>7.9090909090909003</v>
      </c>
      <c r="F24" s="1">
        <v>8.55555555555555</v>
      </c>
      <c r="G24" s="1">
        <v>8.6666666666666607</v>
      </c>
      <c r="H24" s="1">
        <v>8.25</v>
      </c>
      <c r="I24" s="1">
        <v>9</v>
      </c>
      <c r="J24" s="1">
        <v>9.5</v>
      </c>
      <c r="K24" s="1">
        <v>9.8000000000000007</v>
      </c>
      <c r="L24" s="1">
        <v>9.75</v>
      </c>
      <c r="M24" s="1">
        <f t="shared" si="0"/>
        <v>8.3037790492335919</v>
      </c>
      <c r="N24">
        <f t="shared" si="1"/>
        <v>1.2365439948771009</v>
      </c>
    </row>
    <row r="25" spans="1:14" x14ac:dyDescent="0.45">
      <c r="A25">
        <v>24</v>
      </c>
      <c r="B25" s="1">
        <v>6.25</v>
      </c>
      <c r="C25" s="1">
        <v>6.9166666666666599</v>
      </c>
      <c r="D25" s="1">
        <v>7.2727272727272698</v>
      </c>
      <c r="E25" s="1">
        <v>8.3000000000000007</v>
      </c>
      <c r="F25" s="1">
        <v>8.6666666666666607</v>
      </c>
      <c r="G25" s="1">
        <v>8.5</v>
      </c>
      <c r="H25" s="1">
        <v>8.71428571428571</v>
      </c>
      <c r="I25" s="1">
        <v>8.6</v>
      </c>
      <c r="J25" s="1">
        <v>9.75</v>
      </c>
      <c r="K25" s="1">
        <v>9.6666666666666607</v>
      </c>
      <c r="L25" s="1"/>
      <c r="M25" s="1">
        <f t="shared" si="0"/>
        <v>8.2637012987012959</v>
      </c>
      <c r="N25">
        <f t="shared" si="1"/>
        <v>1.1335577858834747</v>
      </c>
    </row>
    <row r="26" spans="1:14" x14ac:dyDescent="0.45">
      <c r="A26">
        <v>25</v>
      </c>
      <c r="B26" s="1">
        <v>6.0769230769230704</v>
      </c>
      <c r="C26" s="1">
        <v>7.1538461538461497</v>
      </c>
      <c r="D26" s="1">
        <v>7.3636363636363598</v>
      </c>
      <c r="E26" s="1">
        <v>8.2727272727272698</v>
      </c>
      <c r="F26" s="1">
        <v>8.6</v>
      </c>
      <c r="G26" s="1">
        <v>8.6666666666666607</v>
      </c>
      <c r="H26" s="1">
        <v>8.875</v>
      </c>
      <c r="I26" s="1">
        <v>8.8333333333333304</v>
      </c>
      <c r="J26" s="1">
        <v>9.1999999999999993</v>
      </c>
      <c r="K26" s="1">
        <v>9.75</v>
      </c>
      <c r="L26" s="1"/>
      <c r="M26" s="1">
        <f t="shared" si="0"/>
        <v>8.2792132867132828</v>
      </c>
      <c r="N26">
        <f t="shared" si="1"/>
        <v>1.0995430020656498</v>
      </c>
    </row>
    <row r="27" spans="1:14" x14ac:dyDescent="0.45">
      <c r="A27">
        <v>27</v>
      </c>
      <c r="B27" s="1">
        <v>6.6923076923076898</v>
      </c>
      <c r="C27" s="1">
        <v>7.6666666666666599</v>
      </c>
      <c r="D27" s="1">
        <v>8.2727272727272698</v>
      </c>
      <c r="E27" s="1">
        <v>7.8</v>
      </c>
      <c r="F27" s="1">
        <v>8.3333333333333304</v>
      </c>
      <c r="G27" s="1">
        <v>8.4444444444444393</v>
      </c>
      <c r="H27" s="1">
        <v>9</v>
      </c>
      <c r="I27" s="1">
        <v>9.1666666666666607</v>
      </c>
      <c r="J27" s="1">
        <v>9.75</v>
      </c>
      <c r="K27" s="1"/>
      <c r="L27" s="1"/>
      <c r="M27" s="1">
        <f t="shared" si="0"/>
        <v>8.347349564016227</v>
      </c>
      <c r="N27">
        <f t="shared" si="1"/>
        <v>0.90705140826040864</v>
      </c>
    </row>
    <row r="28" spans="1:14" x14ac:dyDescent="0.45">
      <c r="A28">
        <v>28</v>
      </c>
      <c r="B28" s="1">
        <v>5.5</v>
      </c>
      <c r="C28" s="1">
        <v>6.0833333333333304</v>
      </c>
      <c r="D28" s="1">
        <v>6.7</v>
      </c>
      <c r="E28" s="1">
        <v>7.1</v>
      </c>
      <c r="F28" s="1">
        <v>8</v>
      </c>
      <c r="G28" s="1">
        <v>8.4444444444444393</v>
      </c>
      <c r="H28" s="1">
        <v>8.25</v>
      </c>
      <c r="I28" s="1">
        <v>8.8571428571428505</v>
      </c>
      <c r="J28" s="1">
        <v>8.6666666666666607</v>
      </c>
      <c r="K28" s="1">
        <v>9.4</v>
      </c>
      <c r="L28" s="1">
        <v>10</v>
      </c>
      <c r="M28" s="1">
        <f t="shared" si="0"/>
        <v>7.9092352092352067</v>
      </c>
      <c r="N28">
        <f t="shared" si="1"/>
        <v>1.4047120551072307</v>
      </c>
    </row>
    <row r="29" spans="1:14" x14ac:dyDescent="0.45">
      <c r="A29">
        <v>29</v>
      </c>
      <c r="B29" s="1">
        <v>5.8</v>
      </c>
      <c r="C29" s="1">
        <v>6</v>
      </c>
      <c r="D29" s="1">
        <v>6.6428571428571397</v>
      </c>
      <c r="E29" s="1">
        <v>7.6153846153846096</v>
      </c>
      <c r="F29" s="1">
        <v>8</v>
      </c>
      <c r="G29" s="1">
        <v>8.0909090909090899</v>
      </c>
      <c r="H29" s="1">
        <v>8.6999999999999993</v>
      </c>
      <c r="I29" s="1">
        <v>8.25</v>
      </c>
      <c r="J29" s="1">
        <v>8.8571428571428505</v>
      </c>
      <c r="K29" s="1">
        <v>9.8333333333333304</v>
      </c>
      <c r="L29" s="1">
        <v>10</v>
      </c>
      <c r="M29" s="1">
        <f t="shared" si="0"/>
        <v>7.9808751854206381</v>
      </c>
      <c r="N29">
        <f t="shared" si="1"/>
        <v>1.3957905228360437</v>
      </c>
    </row>
    <row r="30" spans="1:14" x14ac:dyDescent="0.45">
      <c r="A30">
        <v>30</v>
      </c>
      <c r="B30" s="1">
        <v>6.0666666666666602</v>
      </c>
      <c r="C30" s="1">
        <v>6.6</v>
      </c>
      <c r="D30" s="1">
        <v>7.0714285714285703</v>
      </c>
      <c r="E30" s="1">
        <v>8.0769230769230695</v>
      </c>
      <c r="F30" s="1">
        <v>8.8181818181818095</v>
      </c>
      <c r="G30" s="1">
        <v>9.3000000000000007</v>
      </c>
      <c r="H30" s="1">
        <v>8.8888888888888893</v>
      </c>
      <c r="I30" s="1">
        <v>9.5</v>
      </c>
      <c r="J30" s="1">
        <v>9.3333333333333304</v>
      </c>
      <c r="K30" s="1">
        <v>10</v>
      </c>
      <c r="L30" s="1"/>
      <c r="M30" s="1">
        <f t="shared" si="0"/>
        <v>8.3655422355422324</v>
      </c>
      <c r="N30">
        <f t="shared" si="1"/>
        <v>1.3501872832240558</v>
      </c>
    </row>
    <row r="31" spans="1:14" x14ac:dyDescent="0.45">
      <c r="A31">
        <v>31</v>
      </c>
      <c r="B31" s="1">
        <v>5.875</v>
      </c>
      <c r="C31" s="1">
        <v>6.93333333333333</v>
      </c>
      <c r="D31" s="1">
        <v>7.21428571428571</v>
      </c>
      <c r="E31" s="1">
        <v>7.9230769230769198</v>
      </c>
      <c r="F31" s="1">
        <v>8.8333333333333304</v>
      </c>
      <c r="G31" s="1">
        <v>8.8000000000000007</v>
      </c>
      <c r="H31" s="1">
        <v>9.3333333333333304</v>
      </c>
      <c r="I31" s="1">
        <v>9.25</v>
      </c>
      <c r="J31" s="1">
        <v>9.1666666666666607</v>
      </c>
      <c r="K31" s="1">
        <v>10</v>
      </c>
      <c r="L31" s="1"/>
      <c r="M31" s="1">
        <f t="shared" si="0"/>
        <v>8.332902930402927</v>
      </c>
      <c r="N31">
        <f t="shared" si="1"/>
        <v>1.2997545323355599</v>
      </c>
    </row>
    <row r="32" spans="1:14" x14ac:dyDescent="0.45">
      <c r="A32">
        <v>32</v>
      </c>
      <c r="B32" s="1">
        <v>5.4285714285714199</v>
      </c>
      <c r="C32" s="1">
        <v>6.0769230769230704</v>
      </c>
      <c r="D32" s="1">
        <v>6.9166666666666599</v>
      </c>
      <c r="E32" s="1">
        <v>7.1818181818181799</v>
      </c>
      <c r="F32" s="1">
        <v>7.9</v>
      </c>
      <c r="G32" s="1">
        <v>8.2222222222222197</v>
      </c>
      <c r="H32" s="1">
        <v>8</v>
      </c>
      <c r="I32" s="1">
        <v>8.5714285714285694</v>
      </c>
      <c r="J32" s="1">
        <v>9</v>
      </c>
      <c r="K32" s="1">
        <v>9.8000000000000007</v>
      </c>
      <c r="L32" s="1">
        <v>9.8000000000000007</v>
      </c>
      <c r="M32" s="1">
        <f t="shared" si="0"/>
        <v>7.8997845588754645</v>
      </c>
      <c r="N32">
        <f t="shared" si="1"/>
        <v>1.4109904746666919</v>
      </c>
    </row>
    <row r="33" spans="1:13" x14ac:dyDescent="0.45">
      <c r="A33">
        <v>34</v>
      </c>
      <c r="B33" s="1">
        <v>5.8571428571428568</v>
      </c>
      <c r="C33" s="1">
        <v>6.6190476190476195</v>
      </c>
      <c r="D33" s="1">
        <v>7.1388888888888884</v>
      </c>
      <c r="E33" s="1">
        <v>7.5151515151515165</v>
      </c>
      <c r="F33" s="1">
        <v>7.75</v>
      </c>
      <c r="G33" s="1">
        <v>8.5</v>
      </c>
      <c r="H33" s="1">
        <v>8.5555555555555554</v>
      </c>
      <c r="I33" s="1"/>
      <c r="J33" s="1"/>
      <c r="K33" s="1"/>
      <c r="L33" s="1"/>
      <c r="M33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A1534-C496-4677-828A-6E200331AF1F}">
  <dimension ref="A1:H16"/>
  <sheetViews>
    <sheetView tabSelected="1" topLeftCell="A5" zoomScale="97" workbookViewId="0">
      <selection activeCell="K17" sqref="K17"/>
    </sheetView>
  </sheetViews>
  <sheetFormatPr defaultRowHeight="14.25" x14ac:dyDescent="0.45"/>
  <sheetData>
    <row r="1" spans="1:8" x14ac:dyDescent="0.45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45">
      <c r="A2" t="s">
        <v>20</v>
      </c>
      <c r="B2">
        <v>6.5</v>
      </c>
      <c r="C2">
        <v>7</v>
      </c>
      <c r="D2">
        <f>23/3</f>
        <v>7.666666666666667</v>
      </c>
      <c r="E2">
        <v>8</v>
      </c>
      <c r="F2">
        <f>35/4</f>
        <v>8.75</v>
      </c>
      <c r="G2">
        <f>35/4</f>
        <v>8.75</v>
      </c>
      <c r="H2">
        <f>39/4</f>
        <v>9.75</v>
      </c>
    </row>
    <row r="3" spans="1:8" x14ac:dyDescent="0.45">
      <c r="A3" t="s">
        <v>21</v>
      </c>
      <c r="B3">
        <v>4.5</v>
      </c>
      <c r="C3">
        <f>16/3</f>
        <v>5.333333333333333</v>
      </c>
      <c r="D3">
        <f>18/3</f>
        <v>6</v>
      </c>
      <c r="E3">
        <v>6</v>
      </c>
      <c r="F3">
        <f>24/4</f>
        <v>6</v>
      </c>
      <c r="G3">
        <f>27/4</f>
        <v>6.75</v>
      </c>
      <c r="H3">
        <f>28/4</f>
        <v>7</v>
      </c>
    </row>
    <row r="4" spans="1:8" x14ac:dyDescent="0.45">
      <c r="A4" t="s">
        <v>22</v>
      </c>
      <c r="B4">
        <v>6</v>
      </c>
      <c r="C4">
        <f>19/3</f>
        <v>6.333333333333333</v>
      </c>
      <c r="D4">
        <v>7</v>
      </c>
      <c r="E4">
        <v>7</v>
      </c>
      <c r="F4">
        <f>29/4</f>
        <v>7.25</v>
      </c>
      <c r="G4">
        <f>36/4</f>
        <v>9</v>
      </c>
      <c r="H4">
        <f>33/4</f>
        <v>8.25</v>
      </c>
    </row>
    <row r="5" spans="1:8" x14ac:dyDescent="0.45">
      <c r="A5" t="s">
        <v>23</v>
      </c>
      <c r="B5">
        <v>5</v>
      </c>
      <c r="C5">
        <f>20/3</f>
        <v>6.666666666666667</v>
      </c>
      <c r="D5">
        <f>23/3</f>
        <v>7.666666666666667</v>
      </c>
      <c r="E5">
        <f>23/3</f>
        <v>7.666666666666667</v>
      </c>
      <c r="F5">
        <f>36/4</f>
        <v>9</v>
      </c>
      <c r="G5">
        <f>32/4</f>
        <v>8</v>
      </c>
      <c r="H5">
        <f>35/4</f>
        <v>8.75</v>
      </c>
    </row>
    <row r="6" spans="1:8" x14ac:dyDescent="0.45">
      <c r="A6" t="s">
        <v>24</v>
      </c>
      <c r="B6">
        <v>6</v>
      </c>
      <c r="C6">
        <f>21/3</f>
        <v>7</v>
      </c>
      <c r="D6">
        <v>7</v>
      </c>
      <c r="E6">
        <v>8</v>
      </c>
      <c r="F6">
        <f>30/4</f>
        <v>7.5</v>
      </c>
      <c r="G6">
        <f>36/4</f>
        <v>9</v>
      </c>
      <c r="H6">
        <f>32/4</f>
        <v>8</v>
      </c>
    </row>
    <row r="7" spans="1:8" x14ac:dyDescent="0.45">
      <c r="A7" t="s">
        <v>25</v>
      </c>
      <c r="B7">
        <v>5</v>
      </c>
      <c r="C7">
        <f>22/3</f>
        <v>7.333333333333333</v>
      </c>
      <c r="D7">
        <v>8</v>
      </c>
      <c r="E7">
        <v>8</v>
      </c>
      <c r="F7">
        <f>32/4</f>
        <v>8</v>
      </c>
      <c r="G7">
        <f>39/4</f>
        <v>9.75</v>
      </c>
      <c r="H7">
        <f>34/4</f>
        <v>8.5</v>
      </c>
    </row>
    <row r="8" spans="1:8" x14ac:dyDescent="0.45">
      <c r="A8" t="s">
        <v>26</v>
      </c>
      <c r="B8">
        <v>7.5</v>
      </c>
      <c r="C8">
        <f>22/3</f>
        <v>7.333333333333333</v>
      </c>
      <c r="D8">
        <f>22/3</f>
        <v>7.333333333333333</v>
      </c>
      <c r="E8">
        <f>22/3</f>
        <v>7.333333333333333</v>
      </c>
      <c r="F8">
        <f>32/4</f>
        <v>8</v>
      </c>
      <c r="G8">
        <f>36/4</f>
        <v>9</v>
      </c>
      <c r="H8">
        <f>38/4</f>
        <v>9.5</v>
      </c>
    </row>
    <row r="9" spans="1:8" x14ac:dyDescent="0.45">
      <c r="A9" t="s">
        <v>27</v>
      </c>
      <c r="B9">
        <v>7.5</v>
      </c>
      <c r="C9">
        <f>22/3</f>
        <v>7.333333333333333</v>
      </c>
      <c r="D9">
        <f>24/3</f>
        <v>8</v>
      </c>
      <c r="E9">
        <f>25/3</f>
        <v>8.3333333333333339</v>
      </c>
      <c r="F9">
        <f>33/4</f>
        <v>8.25</v>
      </c>
      <c r="G9">
        <f>39/4</f>
        <v>9.75</v>
      </c>
      <c r="H9">
        <f>37/4</f>
        <v>9.25</v>
      </c>
    </row>
    <row r="10" spans="1:8" x14ac:dyDescent="0.45">
      <c r="A10" t="s">
        <v>28</v>
      </c>
      <c r="B10">
        <v>6</v>
      </c>
      <c r="C10">
        <f>22/3</f>
        <v>7.333333333333333</v>
      </c>
      <c r="D10">
        <f>19/3</f>
        <v>6.333333333333333</v>
      </c>
      <c r="E10">
        <f>23/3</f>
        <v>7.666666666666667</v>
      </c>
      <c r="F10">
        <f>29/4</f>
        <v>7.25</v>
      </c>
      <c r="G10">
        <f>32/4</f>
        <v>8</v>
      </c>
      <c r="H10">
        <f>32/4</f>
        <v>8</v>
      </c>
    </row>
    <row r="11" spans="1:8" x14ac:dyDescent="0.45">
      <c r="A11" t="s">
        <v>29</v>
      </c>
      <c r="B11">
        <v>5</v>
      </c>
      <c r="C11">
        <f>18/3</f>
        <v>6</v>
      </c>
      <c r="D11">
        <f>22/3</f>
        <v>7.333333333333333</v>
      </c>
      <c r="E11">
        <v>7</v>
      </c>
      <c r="F11">
        <f>30/4</f>
        <v>7.5</v>
      </c>
      <c r="G11">
        <f>28/4</f>
        <v>7</v>
      </c>
    </row>
    <row r="12" spans="1:8" x14ac:dyDescent="0.45">
      <c r="A12" t="s">
        <v>30</v>
      </c>
      <c r="B12">
        <v>7</v>
      </c>
      <c r="C12">
        <v>7</v>
      </c>
      <c r="D12">
        <f>22/3</f>
        <v>7.333333333333333</v>
      </c>
      <c r="E12">
        <f>23/3</f>
        <v>7.666666666666667</v>
      </c>
    </row>
    <row r="13" spans="1:8" x14ac:dyDescent="0.45">
      <c r="A13" t="s">
        <v>31</v>
      </c>
      <c r="B13">
        <v>6.5</v>
      </c>
      <c r="C13">
        <v>7</v>
      </c>
      <c r="D13">
        <f>18/3</f>
        <v>6</v>
      </c>
    </row>
    <row r="14" spans="1:8" x14ac:dyDescent="0.45">
      <c r="A14" t="s">
        <v>32</v>
      </c>
      <c r="B14">
        <v>4.5</v>
      </c>
      <c r="C14">
        <v>5</v>
      </c>
    </row>
    <row r="15" spans="1:8" x14ac:dyDescent="0.45">
      <c r="A15" t="s">
        <v>33</v>
      </c>
      <c r="B15">
        <v>5</v>
      </c>
      <c r="C15">
        <f>18/3</f>
        <v>6</v>
      </c>
    </row>
    <row r="16" spans="1:8" ht="28.5" x14ac:dyDescent="0.45">
      <c r="A16" s="2" t="s">
        <v>34</v>
      </c>
      <c r="B16">
        <f>AVERAGE(B2:B15)</f>
        <v>5.8571428571428568</v>
      </c>
      <c r="C16">
        <f t="shared" ref="C16:H16" si="0">AVERAGE(C2:C15)</f>
        <v>6.6190476190476195</v>
      </c>
      <c r="D16">
        <f t="shared" si="0"/>
        <v>7.1388888888888884</v>
      </c>
      <c r="E16">
        <f t="shared" si="0"/>
        <v>7.5151515151515165</v>
      </c>
      <c r="F16">
        <f t="shared" si="0"/>
        <v>7.75</v>
      </c>
      <c r="G16">
        <f t="shared" si="0"/>
        <v>8.5</v>
      </c>
      <c r="H16">
        <f t="shared" si="0"/>
        <v>8.5555555555555554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season_week_averages</vt:lpstr>
      <vt:lpstr>season34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Jake Burleson</cp:lastModifiedBy>
  <dcterms:created xsi:type="dcterms:W3CDTF">2025-10-31T02:51:06Z</dcterms:created>
  <dcterms:modified xsi:type="dcterms:W3CDTF">2025-11-01T02:59:20Z</dcterms:modified>
</cp:coreProperties>
</file>